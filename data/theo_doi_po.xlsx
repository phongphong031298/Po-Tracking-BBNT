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slicers/slicer3.xml" ContentType="application/vnd.ms-excel.slicer+xml"/>
  <Override PartName="/xl/comments2.xml" ContentType="application/vnd.openxmlformats-officedocument.spreadsheetml.comments+xml"/>
  <Override PartName="/xl/drawings/drawing4.xml" ContentType="application/vnd.openxmlformats-officedocument.drawing+xml"/>
  <Override PartName="/xl/tables/table5.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6.xml" ContentType="application/vnd.openxmlformats-officedocument.spreadsheetml.table+xml"/>
  <Override PartName="/xl/slicers/slicer5.xml" ContentType="application/vnd.ms-excel.slicer+xml"/>
  <Override PartName="/xl/drawings/drawing6.xml" ContentType="application/vnd.openxmlformats-officedocument.drawing+xml"/>
  <Override PartName="/xl/tables/table7.xml" ContentType="application/vnd.openxmlformats-officedocument.spreadsheetml.table+xml"/>
  <Override PartName="/xl/slicers/slicer6.xml" ContentType="application/vnd.ms-excel.slicer+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Ngoc Thanh\Desktop\data\"/>
    </mc:Choice>
  </mc:AlternateContent>
  <xr:revisionPtr revIDLastSave="0" documentId="13_ncr:1_{C98312F1-F9F0-4F2F-A044-ACF82762195D}" xr6:coauthVersionLast="47" xr6:coauthVersionMax="47" xr10:uidLastSave="{00000000-0000-0000-0000-000000000000}"/>
  <bookViews>
    <workbookView xWindow="-108" yWindow="-108" windowWidth="23256" windowHeight="12576" firstSheet="4" activeTab="4" xr2:uid="{0813C497-0FAC-4BF5-BB43-DA214CB55B8C}"/>
  </bookViews>
  <sheets>
    <sheet name="Toàn Cầu (cũ)" sheetId="2" state="hidden" r:id="rId1"/>
    <sheet name="Nam Tiến" sheetId="6" state="hidden" r:id="rId2"/>
    <sheet name="Kiên Giang" sheetId="3" state="hidden" r:id="rId3"/>
    <sheet name="Toàn Cầu" sheetId="7" state="hidden" r:id="rId4"/>
    <sheet name="GLOPACO" sheetId="9" r:id="rId5"/>
    <sheet name="Kim Đức" sheetId="10" r:id="rId6"/>
    <sheet name="Toàn Cầu 2" sheetId="12" r:id="rId7"/>
  </sheets>
  <definedNames>
    <definedName name="Slicer_Column2">#N/A</definedName>
    <definedName name="Slicer_Mã_SP">#N/A</definedName>
    <definedName name="Slicer_Mã_SP1">#N/A</definedName>
    <definedName name="Slicer_Mã_SP2">#N/A</definedName>
    <definedName name="Slicer_Mã_SP21">#N/A</definedName>
    <definedName name="Slicer_Mã_SP22">#N/A</definedName>
  </definedNames>
  <calcPr calcId="191029" iterate="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4:slicerCache r:id="rId12"/>
        <x14:slicerCache r:id="rId1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04" i="12" l="1"/>
  <c r="I404" i="12" s="1"/>
  <c r="G404" i="12" s="1"/>
  <c r="H328" i="12"/>
  <c r="I328" i="12" s="1"/>
  <c r="G328" i="12" s="1"/>
  <c r="H50" i="12"/>
  <c r="I50" i="12" s="1"/>
  <c r="G50" i="12" s="1"/>
  <c r="H42" i="12"/>
  <c r="I28" i="10"/>
  <c r="H189" i="12"/>
  <c r="I189" i="12" s="1"/>
  <c r="G189" i="12" s="1"/>
  <c r="G188" i="12"/>
  <c r="H179" i="12"/>
  <c r="H398" i="12"/>
  <c r="H287" i="12"/>
  <c r="H355" i="12"/>
  <c r="H224" i="12"/>
  <c r="G223" i="12"/>
  <c r="H115" i="12"/>
  <c r="H111" i="12"/>
  <c r="H31" i="12"/>
  <c r="H221" i="12"/>
  <c r="H218" i="12" s="1"/>
  <c r="H134" i="12"/>
  <c r="G448" i="12" l="1"/>
  <c r="G447" i="12"/>
  <c r="G446" i="12"/>
  <c r="G445" i="12"/>
  <c r="G444" i="12"/>
  <c r="G443" i="12"/>
  <c r="G442" i="12"/>
  <c r="G441" i="12"/>
  <c r="G440" i="12"/>
  <c r="H439" i="12"/>
  <c r="I439" i="12" s="1"/>
  <c r="G439" i="12" s="1"/>
  <c r="G438" i="12"/>
  <c r="G437" i="12"/>
  <c r="G436" i="12"/>
  <c r="G435" i="12"/>
  <c r="G434" i="12"/>
  <c r="G433" i="12"/>
  <c r="G432" i="12"/>
  <c r="H431" i="12"/>
  <c r="I431" i="12" s="1"/>
  <c r="G431" i="12" s="1"/>
  <c r="G430" i="12"/>
  <c r="G429" i="12"/>
  <c r="G428" i="12"/>
  <c r="G427" i="12"/>
  <c r="G426" i="12"/>
  <c r="G425" i="12"/>
  <c r="G424" i="12"/>
  <c r="G423" i="12"/>
  <c r="G422" i="12"/>
  <c r="G421" i="12"/>
  <c r="G420" i="12"/>
  <c r="G419" i="12"/>
  <c r="G418" i="12"/>
  <c r="G417" i="12"/>
  <c r="G416" i="12"/>
  <c r="G415" i="12"/>
  <c r="G414" i="12"/>
  <c r="H413" i="12"/>
  <c r="I413" i="12" s="1"/>
  <c r="G413" i="12" s="1"/>
  <c r="G412" i="12"/>
  <c r="G411" i="12"/>
  <c r="G410" i="12"/>
  <c r="G409" i="12"/>
  <c r="G408" i="12"/>
  <c r="H407" i="12"/>
  <c r="I407" i="12" s="1"/>
  <c r="G407" i="12" s="1"/>
  <c r="G406" i="12"/>
  <c r="G405" i="12"/>
  <c r="I398" i="12"/>
  <c r="G398" i="12" s="1"/>
  <c r="H396" i="12"/>
  <c r="I396" i="12" s="1"/>
  <c r="G396" i="12" s="1"/>
  <c r="H389" i="12"/>
  <c r="I389" i="12" s="1"/>
  <c r="G389" i="12" s="1"/>
  <c r="G387" i="12"/>
  <c r="G386" i="12"/>
  <c r="G385" i="12"/>
  <c r="G384" i="12"/>
  <c r="G383" i="12"/>
  <c r="G382" i="12"/>
  <c r="I381" i="12"/>
  <c r="G381" i="12" s="1"/>
  <c r="G380" i="12"/>
  <c r="G379" i="12"/>
  <c r="G378" i="12"/>
  <c r="G377" i="12"/>
  <c r="G376" i="12"/>
  <c r="G375" i="12"/>
  <c r="G374" i="12"/>
  <c r="G373" i="12"/>
  <c r="G372" i="12"/>
  <c r="G371" i="12"/>
  <c r="G370" i="12"/>
  <c r="G369" i="12"/>
  <c r="G368" i="12"/>
  <c r="H367" i="12"/>
  <c r="I367" i="12" s="1"/>
  <c r="G367" i="12" s="1"/>
  <c r="G366" i="12"/>
  <c r="H361" i="12"/>
  <c r="I361" i="12" s="1"/>
  <c r="G361" i="12" s="1"/>
  <c r="I355" i="12"/>
  <c r="G355" i="12" s="1"/>
  <c r="H347" i="12"/>
  <c r="H346" i="12" s="1"/>
  <c r="I346" i="12" s="1"/>
  <c r="G346" i="12" s="1"/>
  <c r="H338" i="12"/>
  <c r="H337" i="12" s="1"/>
  <c r="I337" i="12" s="1"/>
  <c r="G337" i="12" s="1"/>
  <c r="H330" i="12"/>
  <c r="I330" i="12" s="1"/>
  <c r="G330" i="12" s="1"/>
  <c r="G327" i="12"/>
  <c r="G326" i="12"/>
  <c r="G325" i="12"/>
  <c r="G324" i="12"/>
  <c r="G323" i="12"/>
  <c r="G322" i="12"/>
  <c r="H321" i="12"/>
  <c r="I321" i="12" s="1"/>
  <c r="G321" i="12" s="1"/>
  <c r="G320" i="12"/>
  <c r="G319" i="12"/>
  <c r="G318" i="12"/>
  <c r="G317" i="12"/>
  <c r="G316" i="12"/>
  <c r="G315" i="12"/>
  <c r="G314" i="12"/>
  <c r="G313" i="12"/>
  <c r="G312" i="12"/>
  <c r="H311" i="12"/>
  <c r="I311" i="12" s="1"/>
  <c r="G311" i="12" s="1"/>
  <c r="G310" i="12"/>
  <c r="H309" i="12"/>
  <c r="I309" i="12" s="1"/>
  <c r="G309" i="12" s="1"/>
  <c r="G308" i="12"/>
  <c r="G307" i="12"/>
  <c r="G306" i="12"/>
  <c r="G305" i="12"/>
  <c r="G304" i="12"/>
  <c r="G303" i="12"/>
  <c r="H297" i="12"/>
  <c r="I297" i="12" s="1"/>
  <c r="G297" i="12" s="1"/>
  <c r="I287" i="12"/>
  <c r="G287" i="12" s="1"/>
  <c r="H279" i="12"/>
  <c r="H278" i="12" s="1"/>
  <c r="H274" i="12"/>
  <c r="H273" i="12" s="1"/>
  <c r="I273" i="12" s="1"/>
  <c r="G273" i="12" s="1"/>
  <c r="H267" i="12"/>
  <c r="I267" i="12" s="1"/>
  <c r="G267" i="12" s="1"/>
  <c r="G265" i="12"/>
  <c r="G264" i="12"/>
  <c r="G263" i="12"/>
  <c r="G262" i="12"/>
  <c r="H261" i="12"/>
  <c r="I261" i="12" s="1"/>
  <c r="G261" i="12" s="1"/>
  <c r="G260" i="12"/>
  <c r="G259" i="12"/>
  <c r="G258" i="12"/>
  <c r="G257" i="12"/>
  <c r="G256" i="12"/>
  <c r="G255" i="12"/>
  <c r="G254" i="12"/>
  <c r="G253" i="12"/>
  <c r="G252" i="12"/>
  <c r="G251" i="12"/>
  <c r="G250" i="12"/>
  <c r="G249" i="12"/>
  <c r="G248" i="12"/>
  <c r="H247" i="12"/>
  <c r="H246" i="12" s="1"/>
  <c r="I246" i="12" s="1"/>
  <c r="G246" i="12" s="1"/>
  <c r="G247" i="12"/>
  <c r="G245" i="12"/>
  <c r="G244" i="12"/>
  <c r="G243" i="12"/>
  <c r="G242" i="12"/>
  <c r="G241" i="12"/>
  <c r="H240" i="12"/>
  <c r="I240" i="12" s="1"/>
  <c r="G240" i="12" s="1"/>
  <c r="G239" i="12"/>
  <c r="G238" i="12"/>
  <c r="G237" i="12"/>
  <c r="G236" i="12"/>
  <c r="G235" i="12"/>
  <c r="G234" i="12"/>
  <c r="G233" i="12"/>
  <c r="G232" i="12"/>
  <c r="G231" i="12"/>
  <c r="G230" i="12"/>
  <c r="I224" i="12"/>
  <c r="G224" i="12" s="1"/>
  <c r="G222" i="12"/>
  <c r="G221" i="12"/>
  <c r="G220" i="12"/>
  <c r="G219" i="12"/>
  <c r="I218" i="12"/>
  <c r="G218" i="12" s="1"/>
  <c r="G217" i="12"/>
  <c r="G216" i="12"/>
  <c r="G215" i="12"/>
  <c r="G214" i="12"/>
  <c r="G213" i="12"/>
  <c r="G212" i="12"/>
  <c r="G211" i="12"/>
  <c r="H210" i="12"/>
  <c r="I210" i="12" s="1"/>
  <c r="G210" i="12" s="1"/>
  <c r="G209" i="12"/>
  <c r="G208" i="12"/>
  <c r="G207" i="12"/>
  <c r="G206" i="12"/>
  <c r="G205" i="12"/>
  <c r="G204" i="12"/>
  <c r="G203" i="12"/>
  <c r="H202" i="12"/>
  <c r="I202" i="12" s="1"/>
  <c r="G202" i="12" s="1"/>
  <c r="G201" i="12"/>
  <c r="H200" i="12"/>
  <c r="I200" i="12" s="1"/>
  <c r="G200" i="12" s="1"/>
  <c r="G199" i="12"/>
  <c r="I179" i="12"/>
  <c r="G179" i="12" s="1"/>
  <c r="G178" i="12"/>
  <c r="G174" i="12"/>
  <c r="G173" i="12"/>
  <c r="H172" i="12"/>
  <c r="I172" i="12" s="1"/>
  <c r="G172" i="12" s="1"/>
  <c r="G171" i="12"/>
  <c r="G170" i="12"/>
  <c r="G169" i="12"/>
  <c r="G168" i="12"/>
  <c r="G167" i="12"/>
  <c r="G166" i="12"/>
  <c r="H165" i="12"/>
  <c r="I165" i="12" s="1"/>
  <c r="G165" i="12" s="1"/>
  <c r="G164" i="12"/>
  <c r="G163" i="12"/>
  <c r="G162" i="12"/>
  <c r="G161" i="12"/>
  <c r="G160" i="12"/>
  <c r="G159" i="12"/>
  <c r="G158" i="12"/>
  <c r="G157" i="12"/>
  <c r="H156" i="12"/>
  <c r="I156" i="12" s="1"/>
  <c r="G156" i="12" s="1"/>
  <c r="G155" i="12"/>
  <c r="G154" i="12"/>
  <c r="G153" i="12"/>
  <c r="G152" i="12"/>
  <c r="G151" i="12"/>
  <c r="G150" i="12"/>
  <c r="H149" i="12"/>
  <c r="I149" i="12" s="1"/>
  <c r="G149" i="12" s="1"/>
  <c r="G148" i="12"/>
  <c r="G147" i="12"/>
  <c r="G146" i="12"/>
  <c r="G145" i="12"/>
  <c r="G144" i="12"/>
  <c r="G143" i="12"/>
  <c r="H142" i="12"/>
  <c r="I142" i="12" s="1"/>
  <c r="G142" i="12" s="1"/>
  <c r="G141" i="12"/>
  <c r="G140" i="12"/>
  <c r="G139" i="12"/>
  <c r="G138" i="12"/>
  <c r="G137" i="12"/>
  <c r="G136" i="12"/>
  <c r="G135" i="12"/>
  <c r="I134" i="12"/>
  <c r="G134" i="12" s="1"/>
  <c r="G133" i="12"/>
  <c r="G132" i="12"/>
  <c r="G131" i="12"/>
  <c r="G130" i="12"/>
  <c r="G129" i="12"/>
  <c r="G128" i="12"/>
  <c r="G127" i="12"/>
  <c r="G126" i="12"/>
  <c r="G125" i="12"/>
  <c r="G124" i="12"/>
  <c r="G123" i="12"/>
  <c r="G122" i="12"/>
  <c r="G121" i="12"/>
  <c r="G120" i="12"/>
  <c r="G119" i="12"/>
  <c r="G118" i="12"/>
  <c r="G117" i="12"/>
  <c r="G116" i="12"/>
  <c r="I115" i="12"/>
  <c r="G115" i="12" s="1"/>
  <c r="G114" i="12"/>
  <c r="G113" i="12"/>
  <c r="G112" i="12"/>
  <c r="G110" i="12"/>
  <c r="G109" i="12"/>
  <c r="G108" i="12"/>
  <c r="G107" i="12"/>
  <c r="G105" i="12"/>
  <c r="G104" i="12"/>
  <c r="G103" i="12"/>
  <c r="G102" i="12"/>
  <c r="G101" i="12"/>
  <c r="G100" i="12"/>
  <c r="G99" i="12"/>
  <c r="G98" i="12"/>
  <c r="G97" i="12"/>
  <c r="G96" i="12"/>
  <c r="H95" i="12"/>
  <c r="I95" i="12" s="1"/>
  <c r="G94" i="12"/>
  <c r="G93" i="12"/>
  <c r="G92" i="12"/>
  <c r="G91" i="12"/>
  <c r="G90" i="12"/>
  <c r="G89" i="12"/>
  <c r="G88" i="12"/>
  <c r="G87" i="12"/>
  <c r="G86" i="12"/>
  <c r="G85" i="12"/>
  <c r="H84" i="12"/>
  <c r="I84" i="12" s="1"/>
  <c r="G84" i="12" s="1"/>
  <c r="G83" i="12"/>
  <c r="G82" i="12"/>
  <c r="I81" i="12"/>
  <c r="G81" i="12" s="1"/>
  <c r="G80" i="12"/>
  <c r="G79" i="12"/>
  <c r="G78" i="12"/>
  <c r="G77" i="12"/>
  <c r="G76" i="12"/>
  <c r="G75" i="12"/>
  <c r="G74" i="12"/>
  <c r="G73" i="12"/>
  <c r="G72" i="12"/>
  <c r="G70" i="12"/>
  <c r="G55" i="12"/>
  <c r="G46" i="12"/>
  <c r="G45" i="12"/>
  <c r="G44" i="12"/>
  <c r="G43" i="12"/>
  <c r="I42" i="12"/>
  <c r="G42" i="12" s="1"/>
  <c r="G41" i="12"/>
  <c r="G40" i="12"/>
  <c r="G39" i="12"/>
  <c r="G38" i="12"/>
  <c r="G37" i="12"/>
  <c r="G36" i="12"/>
  <c r="G35" i="12"/>
  <c r="G34" i="12"/>
  <c r="G33" i="12"/>
  <c r="G32" i="12"/>
  <c r="I31" i="12"/>
  <c r="G31" i="12" s="1"/>
  <c r="G30" i="12"/>
  <c r="H25" i="12"/>
  <c r="I25" i="12" s="1"/>
  <c r="G25" i="12" s="1"/>
  <c r="G19" i="12"/>
  <c r="G18" i="12"/>
  <c r="G17" i="12"/>
  <c r="G15" i="12"/>
  <c r="H12" i="12"/>
  <c r="I12" i="12" s="1"/>
  <c r="G12" i="12" s="1"/>
  <c r="H5" i="12"/>
  <c r="G5" i="12" s="1"/>
  <c r="H332" i="7"/>
  <c r="I332" i="7" s="1"/>
  <c r="G332" i="7" s="1"/>
  <c r="H171" i="7"/>
  <c r="I171" i="7" s="1"/>
  <c r="G171" i="7" s="1"/>
  <c r="G170" i="7"/>
  <c r="H200" i="7"/>
  <c r="I200" i="7" s="1"/>
  <c r="G200" i="7" s="1"/>
  <c r="H14" i="9"/>
  <c r="I14" i="9" s="1"/>
  <c r="H271" i="7"/>
  <c r="I271" i="7" s="1"/>
  <c r="G271" i="7" s="1"/>
  <c r="H261" i="7"/>
  <c r="I261" i="7" s="1"/>
  <c r="G261" i="7" s="1"/>
  <c r="H5" i="7"/>
  <c r="H328" i="7"/>
  <c r="I278" i="12" l="1"/>
  <c r="G278" i="12" s="1"/>
  <c r="I111" i="12"/>
  <c r="G111" i="12" s="1"/>
  <c r="H25" i="7"/>
  <c r="I25" i="7" s="1"/>
  <c r="H28" i="9"/>
  <c r="H36" i="9"/>
  <c r="I36" i="9" s="1"/>
  <c r="F36" i="9" s="1"/>
  <c r="H32" i="9"/>
  <c r="H19" i="9"/>
  <c r="H25" i="9"/>
  <c r="I25" i="9" s="1"/>
  <c r="F25" i="9" s="1"/>
  <c r="H12" i="7"/>
  <c r="I12" i="7" s="1"/>
  <c r="G12" i="7" s="1"/>
  <c r="H407" i="7"/>
  <c r="I328" i="7"/>
  <c r="G328" i="7" s="1"/>
  <c r="I23" i="10" l="1"/>
  <c r="I5" i="10"/>
  <c r="I12" i="10"/>
  <c r="I37" i="10"/>
  <c r="H9" i="9"/>
  <c r="H8" i="9" s="1"/>
  <c r="I32" i="9"/>
  <c r="F32" i="9" s="1"/>
  <c r="I28" i="9"/>
  <c r="F28" i="9" s="1"/>
  <c r="I19" i="9"/>
  <c r="F19" i="9" s="1"/>
  <c r="H5" i="9"/>
  <c r="I5" i="9" s="1"/>
  <c r="G5" i="10" s="1"/>
  <c r="I8" i="9" l="1"/>
  <c r="F8" i="9" s="1"/>
  <c r="J37" i="10"/>
  <c r="G37" i="10" s="1"/>
  <c r="F5" i="9"/>
  <c r="I5" i="7"/>
  <c r="G5" i="7" s="1"/>
  <c r="G25" i="7"/>
  <c r="H237" i="7"/>
  <c r="I237" i="7" s="1"/>
  <c r="G237" i="7" s="1"/>
  <c r="G238" i="7"/>
  <c r="G239" i="7"/>
  <c r="G236" i="7"/>
  <c r="H126" i="7"/>
  <c r="I126" i="7" s="1"/>
  <c r="H255" i="7"/>
  <c r="H254" i="7" s="1"/>
  <c r="H141" i="7"/>
  <c r="H187" i="7"/>
  <c r="I254" i="7" l="1"/>
  <c r="G254" i="7" s="1"/>
  <c r="I30" i="10"/>
  <c r="G41" i="7"/>
  <c r="J30" i="10" l="1"/>
  <c r="G30" i="10" s="1"/>
  <c r="H422" i="7"/>
  <c r="I422" i="7" s="1"/>
  <c r="G422" i="7" s="1"/>
  <c r="H295" i="7"/>
  <c r="H416" i="7"/>
  <c r="I416" i="7" s="1"/>
  <c r="H285" i="7"/>
  <c r="H164" i="7"/>
  <c r="H250" i="7"/>
  <c r="H249" i="7" s="1"/>
  <c r="H243" i="7" l="1"/>
  <c r="H157" i="7"/>
  <c r="I17" i="10" l="1"/>
  <c r="J23" i="10"/>
  <c r="G23" i="10" s="1"/>
  <c r="H320" i="7"/>
  <c r="H319" i="7" s="1"/>
  <c r="I319" i="7" l="1"/>
  <c r="J17" i="10"/>
  <c r="G17" i="10" s="1"/>
  <c r="H394" i="7" l="1"/>
  <c r="H87" i="7"/>
  <c r="H559" i="7" l="1"/>
  <c r="G563" i="7"/>
  <c r="G564" i="7"/>
  <c r="G565" i="7"/>
  <c r="H283" i="7"/>
  <c r="G290" i="7"/>
  <c r="G291" i="7"/>
  <c r="G292" i="7"/>
  <c r="G93" i="7"/>
  <c r="G94" i="7"/>
  <c r="G95" i="7"/>
  <c r="J5" i="10" l="1"/>
  <c r="H134" i="7"/>
  <c r="G288" i="7"/>
  <c r="G298" i="7" l="1"/>
  <c r="G299" i="7"/>
  <c r="G300" i="7"/>
  <c r="I187" i="7"/>
  <c r="G192" i="7"/>
  <c r="G193" i="7"/>
  <c r="G194" i="7"/>
  <c r="I394" i="7"/>
  <c r="G394" i="7" s="1"/>
  <c r="G90" i="7"/>
  <c r="G91" i="7"/>
  <c r="G92" i="7"/>
  <c r="G230" i="7"/>
  <c r="G231" i="7"/>
  <c r="G232" i="7"/>
  <c r="G71" i="6"/>
  <c r="H148" i="7"/>
  <c r="H76" i="7"/>
  <c r="H532" i="7"/>
  <c r="H338" i="7"/>
  <c r="I386" i="7"/>
  <c r="G386" i="7" s="1"/>
  <c r="G383" i="7"/>
  <c r="G384" i="7"/>
  <c r="G385" i="7"/>
  <c r="G387" i="7"/>
  <c r="G388" i="7"/>
  <c r="G389" i="7"/>
  <c r="G390" i="7"/>
  <c r="G391" i="7"/>
  <c r="G392" i="7"/>
  <c r="G382" i="7"/>
  <c r="I407" i="7"/>
  <c r="H405" i="7"/>
  <c r="G97" i="6"/>
  <c r="G92" i="6"/>
  <c r="G91" i="6" s="1"/>
  <c r="H93" i="6"/>
  <c r="H94" i="6"/>
  <c r="H95" i="6"/>
  <c r="G84" i="6"/>
  <c r="H84" i="6" s="1"/>
  <c r="G73" i="6"/>
  <c r="G190" i="7"/>
  <c r="G191" i="7"/>
  <c r="I164" i="7"/>
  <c r="G164" i="7" s="1"/>
  <c r="G162" i="7"/>
  <c r="G163" i="7"/>
  <c r="G161" i="7"/>
  <c r="G165" i="7"/>
  <c r="I249" i="7"/>
  <c r="I285" i="7" l="1"/>
  <c r="I295" i="7"/>
  <c r="H92" i="6"/>
  <c r="H91" i="6"/>
  <c r="I141" i="7"/>
  <c r="G141" i="7" s="1"/>
  <c r="I134" i="7"/>
  <c r="G134" i="7" s="1"/>
  <c r="G133" i="7"/>
  <c r="G135" i="7"/>
  <c r="G136" i="7"/>
  <c r="G137" i="7"/>
  <c r="G138" i="7"/>
  <c r="G139" i="7"/>
  <c r="G140" i="7"/>
  <c r="G142" i="7"/>
  <c r="G143" i="7"/>
  <c r="G144" i="7"/>
  <c r="G145" i="7"/>
  <c r="G146" i="7"/>
  <c r="I157" i="7"/>
  <c r="H179" i="7"/>
  <c r="G227" i="7"/>
  <c r="G228" i="7"/>
  <c r="G229" i="7"/>
  <c r="H31" i="7"/>
  <c r="G186" i="7"/>
  <c r="G39" i="7"/>
  <c r="G40" i="7"/>
  <c r="G87" i="6" l="1"/>
  <c r="H87" i="6" s="1"/>
  <c r="H90" i="6"/>
  <c r="G157" i="7"/>
  <c r="G155" i="7"/>
  <c r="G156" i="7"/>
  <c r="G158" i="7"/>
  <c r="G159" i="7"/>
  <c r="G160" i="7"/>
  <c r="G166" i="7"/>
  <c r="G343" i="7"/>
  <c r="G344" i="7"/>
  <c r="G345" i="7"/>
  <c r="G346" i="7"/>
  <c r="I179" i="7" l="1"/>
  <c r="H311" i="7"/>
  <c r="H303" i="7"/>
  <c r="I303" i="7" s="1"/>
  <c r="G303" i="7" s="1"/>
  <c r="H216" i="7"/>
  <c r="G225" i="7"/>
  <c r="G226" i="7"/>
  <c r="G233" i="7"/>
  <c r="H223" i="7"/>
  <c r="H222" i="7" s="1"/>
  <c r="H310" i="7" l="1"/>
  <c r="I310" i="7" s="1"/>
  <c r="H195" i="7"/>
  <c r="G187" i="7"/>
  <c r="G189" i="7"/>
  <c r="G196" i="7"/>
  <c r="G197" i="7"/>
  <c r="G198" i="7"/>
  <c r="H107" i="7"/>
  <c r="I107" i="7" s="1"/>
  <c r="G107" i="7" s="1"/>
  <c r="G108" i="7"/>
  <c r="G109" i="7"/>
  <c r="G183" i="7"/>
  <c r="G184" i="7"/>
  <c r="G185" i="7"/>
  <c r="H42" i="7"/>
  <c r="I42" i="7" s="1"/>
  <c r="I195" i="7" l="1"/>
  <c r="G195" i="7" s="1"/>
  <c r="H103" i="7"/>
  <c r="I87" i="7"/>
  <c r="G101" i="7"/>
  <c r="G100" i="7"/>
  <c r="G99" i="7"/>
  <c r="G97" i="7"/>
  <c r="I243" i="7"/>
  <c r="I31" i="7"/>
  <c r="G105" i="7" l="1"/>
  <c r="G106" i="7"/>
  <c r="G115" i="7"/>
  <c r="G117" i="7"/>
  <c r="G118" i="7"/>
  <c r="G119" i="7"/>
  <c r="G120" i="7"/>
  <c r="G121" i="7"/>
  <c r="G122" i="7"/>
  <c r="G123" i="7"/>
  <c r="G124" i="7"/>
  <c r="G129" i="7"/>
  <c r="G130" i="7"/>
  <c r="G131" i="7"/>
  <c r="G132" i="7"/>
  <c r="G210" i="7"/>
  <c r="G211" i="7"/>
  <c r="G212" i="7"/>
  <c r="G213" i="7"/>
  <c r="G214" i="7"/>
  <c r="G243" i="7"/>
  <c r="G249" i="7"/>
  <c r="G281" i="7"/>
  <c r="G295" i="7"/>
  <c r="G296" i="7"/>
  <c r="G297" i="7"/>
  <c r="G361" i="7"/>
  <c r="G362" i="7"/>
  <c r="G363" i="7"/>
  <c r="G364" i="7"/>
  <c r="G365" i="7"/>
  <c r="G366" i="7"/>
  <c r="G367" i="7"/>
  <c r="G368" i="7"/>
  <c r="G371" i="7"/>
  <c r="G372" i="7"/>
  <c r="G377" i="7"/>
  <c r="G378" i="7"/>
  <c r="G428" i="7"/>
  <c r="G433" i="7"/>
  <c r="G434" i="7"/>
  <c r="G435" i="7"/>
  <c r="G436" i="7"/>
  <c r="G440" i="7"/>
  <c r="G448" i="7"/>
  <c r="G450" i="7"/>
  <c r="G451" i="7"/>
  <c r="G452" i="7"/>
  <c r="G453" i="7"/>
  <c r="G454" i="7"/>
  <c r="G455" i="7"/>
  <c r="G457" i="7"/>
  <c r="G458" i="7"/>
  <c r="G459" i="7"/>
  <c r="G462" i="7"/>
  <c r="G463" i="7"/>
  <c r="G464" i="7"/>
  <c r="G465" i="7"/>
  <c r="G467" i="7"/>
  <c r="G471" i="7"/>
  <c r="G472" i="7"/>
  <c r="G473" i="7"/>
  <c r="G474" i="7"/>
  <c r="G475" i="7"/>
  <c r="G476" i="7"/>
  <c r="G477" i="7"/>
  <c r="G478" i="7"/>
  <c r="G479" i="7"/>
  <c r="G481" i="7"/>
  <c r="G482" i="7"/>
  <c r="G483" i="7"/>
  <c r="G484" i="7"/>
  <c r="G485" i="7"/>
  <c r="G486" i="7"/>
  <c r="G487" i="7"/>
  <c r="G489" i="7"/>
  <c r="G490" i="7"/>
  <c r="G494" i="7"/>
  <c r="G495" i="7"/>
  <c r="G496" i="7"/>
  <c r="G497" i="7"/>
  <c r="G498" i="7"/>
  <c r="G499" i="7"/>
  <c r="G500" i="7"/>
  <c r="G501" i="7"/>
  <c r="G502" i="7"/>
  <c r="G504" i="7"/>
  <c r="G505" i="7"/>
  <c r="G508" i="7"/>
  <c r="G509" i="7"/>
  <c r="G510" i="7"/>
  <c r="G511" i="7"/>
  <c r="G512" i="7"/>
  <c r="G513" i="7"/>
  <c r="G514" i="7"/>
  <c r="G515" i="7"/>
  <c r="G518" i="7"/>
  <c r="G519" i="7"/>
  <c r="G520" i="7"/>
  <c r="G521" i="7"/>
  <c r="G522" i="7"/>
  <c r="G523" i="7"/>
  <c r="G524" i="7"/>
  <c r="G525" i="7"/>
  <c r="G527" i="7"/>
  <c r="G528" i="7"/>
  <c r="G529" i="7"/>
  <c r="G538" i="7"/>
  <c r="G539" i="7"/>
  <c r="G540" i="7"/>
  <c r="G544" i="7"/>
  <c r="G545" i="7"/>
  <c r="G548" i="7"/>
  <c r="G549" i="7"/>
  <c r="G550" i="7"/>
  <c r="G551" i="7"/>
  <c r="G553" i="7"/>
  <c r="G554" i="7"/>
  <c r="G555" i="7"/>
  <c r="G556" i="7"/>
  <c r="G571" i="7"/>
  <c r="G572" i="7"/>
  <c r="G577" i="7"/>
  <c r="G34" i="7"/>
  <c r="G35" i="7"/>
  <c r="G36" i="7"/>
  <c r="G37" i="7"/>
  <c r="G38" i="7"/>
  <c r="G220" i="7"/>
  <c r="G221" i="7"/>
  <c r="G33" i="7" l="1"/>
  <c r="G42" i="7"/>
  <c r="G43" i="7"/>
  <c r="G44" i="7"/>
  <c r="G45" i="7"/>
  <c r="I559" i="7"/>
  <c r="G559" i="7" s="1"/>
  <c r="I532" i="7"/>
  <c r="I103" i="7"/>
  <c r="I338" i="7"/>
  <c r="H177" i="7"/>
  <c r="I76" i="7"/>
  <c r="I405" i="7"/>
  <c r="G589" i="7" l="1"/>
  <c r="G588" i="7"/>
  <c r="G587" i="7"/>
  <c r="G586" i="7"/>
  <c r="G585" i="7"/>
  <c r="G584" i="7"/>
  <c r="G583" i="7"/>
  <c r="G582" i="7"/>
  <c r="G581" i="7"/>
  <c r="G580" i="7"/>
  <c r="G579" i="7"/>
  <c r="G578" i="7"/>
  <c r="G576" i="7"/>
  <c r="G575" i="7"/>
  <c r="G574" i="7"/>
  <c r="G573" i="7"/>
  <c r="G570" i="7"/>
  <c r="G569" i="7"/>
  <c r="G568" i="7"/>
  <c r="G567" i="7"/>
  <c r="G566" i="7"/>
  <c r="G562" i="7"/>
  <c r="G561" i="7"/>
  <c r="G560" i="7"/>
  <c r="G558" i="7"/>
  <c r="G557" i="7"/>
  <c r="G552" i="7"/>
  <c r="G547" i="7"/>
  <c r="G546" i="7"/>
  <c r="G543" i="7"/>
  <c r="G542" i="7"/>
  <c r="G541" i="7"/>
  <c r="G537" i="7"/>
  <c r="G536" i="7"/>
  <c r="G535" i="7"/>
  <c r="G534" i="7"/>
  <c r="G533" i="7"/>
  <c r="G531" i="7"/>
  <c r="G530" i="7"/>
  <c r="G526" i="7"/>
  <c r="G517" i="7"/>
  <c r="G516" i="7"/>
  <c r="G507" i="7"/>
  <c r="G506" i="7"/>
  <c r="G503" i="7"/>
  <c r="G493" i="7"/>
  <c r="G492" i="7"/>
  <c r="G491" i="7"/>
  <c r="G488" i="7"/>
  <c r="G480" i="7"/>
  <c r="G470" i="7"/>
  <c r="G469" i="7"/>
  <c r="G468" i="7"/>
  <c r="G466" i="7"/>
  <c r="G461" i="7"/>
  <c r="G460" i="7"/>
  <c r="G456" i="7"/>
  <c r="G449" i="7"/>
  <c r="G447" i="7"/>
  <c r="G446" i="7"/>
  <c r="G445" i="7"/>
  <c r="G444" i="7"/>
  <c r="G443" i="7"/>
  <c r="G442" i="7"/>
  <c r="G441" i="7"/>
  <c r="G439" i="7"/>
  <c r="G438" i="7"/>
  <c r="G437" i="7"/>
  <c r="G432" i="7"/>
  <c r="G431" i="7"/>
  <c r="G430" i="7"/>
  <c r="G429" i="7"/>
  <c r="G427" i="7"/>
  <c r="G426" i="7"/>
  <c r="G425" i="7"/>
  <c r="G424" i="7"/>
  <c r="G423" i="7"/>
  <c r="G421" i="7"/>
  <c r="G420" i="7"/>
  <c r="G419" i="7"/>
  <c r="G418" i="7"/>
  <c r="G417" i="7"/>
  <c r="G415" i="7"/>
  <c r="G414" i="7"/>
  <c r="G413" i="7"/>
  <c r="G412" i="7"/>
  <c r="G407" i="7"/>
  <c r="G405" i="7"/>
  <c r="G381" i="7"/>
  <c r="G380" i="7"/>
  <c r="G379" i="7"/>
  <c r="G376" i="7"/>
  <c r="G375" i="7"/>
  <c r="G374" i="7"/>
  <c r="G373" i="7"/>
  <c r="G370" i="7"/>
  <c r="G369" i="7"/>
  <c r="G360" i="7"/>
  <c r="G359" i="7"/>
  <c r="G358" i="7"/>
  <c r="G357" i="7"/>
  <c r="G356" i="7"/>
  <c r="G355" i="7"/>
  <c r="G354" i="7"/>
  <c r="G353" i="7"/>
  <c r="G352" i="7"/>
  <c r="G351" i="7"/>
  <c r="G350" i="7"/>
  <c r="G349" i="7"/>
  <c r="G348" i="7"/>
  <c r="G347" i="7"/>
  <c r="G342" i="7"/>
  <c r="G341" i="7"/>
  <c r="G340" i="7"/>
  <c r="G339" i="7"/>
  <c r="G338" i="7"/>
  <c r="G337" i="7"/>
  <c r="G319" i="7"/>
  <c r="G310" i="7"/>
  <c r="G301" i="7"/>
  <c r="G294" i="7"/>
  <c r="G293" i="7"/>
  <c r="G289" i="7"/>
  <c r="G287" i="7"/>
  <c r="G286" i="7"/>
  <c r="G285" i="7"/>
  <c r="G284" i="7"/>
  <c r="G282" i="7"/>
  <c r="G280" i="7"/>
  <c r="G279" i="7"/>
  <c r="G278" i="7"/>
  <c r="G277" i="7"/>
  <c r="G241" i="7"/>
  <c r="G240" i="7"/>
  <c r="G235" i="7"/>
  <c r="G234" i="7"/>
  <c r="G224" i="7"/>
  <c r="G223" i="7"/>
  <c r="G219" i="7"/>
  <c r="G218" i="7"/>
  <c r="G217" i="7"/>
  <c r="G215" i="7"/>
  <c r="G209" i="7"/>
  <c r="G208" i="7"/>
  <c r="G207" i="7"/>
  <c r="G206" i="7"/>
  <c r="G199" i="7"/>
  <c r="G188" i="7"/>
  <c r="G182" i="7"/>
  <c r="G181" i="7"/>
  <c r="G180" i="7"/>
  <c r="G179" i="7"/>
  <c r="G178" i="7"/>
  <c r="G176" i="7"/>
  <c r="G154" i="7"/>
  <c r="G153" i="7"/>
  <c r="G152" i="7"/>
  <c r="G151" i="7"/>
  <c r="G150" i="7"/>
  <c r="G149" i="7"/>
  <c r="G147" i="7"/>
  <c r="G128" i="7"/>
  <c r="G127" i="7"/>
  <c r="G126" i="7"/>
  <c r="G125" i="7"/>
  <c r="G116" i="7"/>
  <c r="G114" i="7"/>
  <c r="G113" i="7"/>
  <c r="G112" i="7"/>
  <c r="G111" i="7"/>
  <c r="G110" i="7"/>
  <c r="G104" i="7"/>
  <c r="G103" i="7"/>
  <c r="G102" i="7"/>
  <c r="G96" i="7"/>
  <c r="G89" i="7"/>
  <c r="G88" i="7"/>
  <c r="G86" i="7"/>
  <c r="G85" i="7"/>
  <c r="G84" i="7"/>
  <c r="G83" i="7"/>
  <c r="G82" i="7"/>
  <c r="G81" i="7"/>
  <c r="G80" i="7"/>
  <c r="G79" i="7"/>
  <c r="G78" i="7"/>
  <c r="G77" i="7"/>
  <c r="G76" i="7"/>
  <c r="G75" i="7"/>
  <c r="G74" i="7"/>
  <c r="G72" i="7"/>
  <c r="G71" i="7"/>
  <c r="G70" i="7"/>
  <c r="G69" i="7"/>
  <c r="G68" i="7"/>
  <c r="G67" i="7"/>
  <c r="G66" i="7"/>
  <c r="G65" i="7"/>
  <c r="G64" i="7"/>
  <c r="G62" i="7"/>
  <c r="G47" i="7"/>
  <c r="G46" i="7"/>
  <c r="G32" i="7"/>
  <c r="G31" i="7"/>
  <c r="G30" i="7"/>
  <c r="G19" i="7"/>
  <c r="G18" i="7"/>
  <c r="G17" i="7"/>
  <c r="G15" i="7"/>
  <c r="G10" i="6"/>
  <c r="G5" i="6"/>
  <c r="H5" i="6" s="1"/>
  <c r="G124" i="6"/>
  <c r="G116" i="6"/>
  <c r="G78" i="6"/>
  <c r="G66" i="6"/>
  <c r="G59" i="6"/>
  <c r="G111" i="6" l="1"/>
  <c r="G110" i="6" s="1"/>
  <c r="G113" i="6"/>
  <c r="G112" i="6" s="1"/>
  <c r="H112" i="6" s="1"/>
  <c r="G9" i="6"/>
  <c r="H9" i="6" s="1"/>
  <c r="H116" i="6"/>
  <c r="H59" i="6"/>
  <c r="H284" i="2"/>
  <c r="H278" i="2"/>
  <c r="I278" i="2" s="1"/>
  <c r="H512" i="2"/>
  <c r="H463" i="2"/>
  <c r="H75" i="2"/>
  <c r="M288" i="2"/>
  <c r="M285" i="2"/>
  <c r="M286" i="2"/>
  <c r="H287" i="2"/>
  <c r="H111" i="6" l="1"/>
  <c r="H113" i="6"/>
  <c r="H283" i="2"/>
  <c r="I283" i="2" s="1"/>
  <c r="I287" i="2"/>
  <c r="H504" i="2"/>
  <c r="I504" i="2" s="1"/>
  <c r="M510" i="2"/>
  <c r="M72" i="2"/>
  <c r="M73" i="2"/>
  <c r="M282" i="2"/>
  <c r="M281" i="2"/>
  <c r="M242" i="2"/>
  <c r="M243" i="2"/>
  <c r="M244" i="2"/>
  <c r="M94" i="2"/>
  <c r="H73" i="6"/>
  <c r="H78" i="6"/>
  <c r="H43" i="6"/>
  <c r="G39" i="6"/>
  <c r="G32" i="6"/>
  <c r="G26" i="6"/>
  <c r="H110" i="6" l="1"/>
  <c r="H71" i="6"/>
  <c r="H66" i="6"/>
  <c r="H32" i="6"/>
  <c r="H26" i="6"/>
  <c r="G15" i="6"/>
  <c r="H22" i="6"/>
  <c r="H23" i="6"/>
  <c r="H24" i="6"/>
  <c r="H38" i="6"/>
  <c r="H46" i="6"/>
  <c r="H15" i="6" l="1"/>
  <c r="H124" i="6"/>
  <c r="H57" i="6"/>
  <c r="H56" i="6"/>
  <c r="H51" i="6"/>
  <c r="H55" i="6"/>
  <c r="G47" i="6"/>
  <c r="H47" i="6" s="1"/>
  <c r="G28" i="6" l="1"/>
  <c r="H28" i="6" s="1"/>
  <c r="G42" i="6"/>
  <c r="H42" i="6" l="1"/>
  <c r="G21" i="6"/>
  <c r="H21" i="6" s="1"/>
  <c r="G109" i="6" l="1"/>
  <c r="H39" i="6"/>
  <c r="H31" i="6"/>
  <c r="H109" i="6" l="1"/>
  <c r="G106" i="6"/>
  <c r="G52" i="6"/>
  <c r="H52" i="6" s="1"/>
  <c r="H106" i="6" l="1"/>
  <c r="H103" i="6" l="1"/>
  <c r="M70" i="2"/>
  <c r="M71" i="2"/>
  <c r="H102" i="6" l="1"/>
  <c r="M509" i="2"/>
  <c r="H455" i="2"/>
  <c r="M462" i="2"/>
  <c r="H582" i="2"/>
  <c r="H101" i="6" l="1"/>
  <c r="G99" i="6"/>
  <c r="H112" i="2"/>
  <c r="H236" i="2"/>
  <c r="I236" i="2" s="1"/>
  <c r="M584" i="2"/>
  <c r="H386" i="2"/>
  <c r="H385" i="2" s="1"/>
  <c r="H381" i="2"/>
  <c r="H303" i="2"/>
  <c r="H302" i="2" s="1"/>
  <c r="H298" i="2"/>
  <c r="M460" i="2"/>
  <c r="M461" i="2"/>
  <c r="M91" i="2"/>
  <c r="M92" i="2"/>
  <c r="M93" i="2"/>
  <c r="H581" i="2"/>
  <c r="I581" i="2" s="1"/>
  <c r="H574" i="2"/>
  <c r="M580" i="2"/>
  <c r="M737" i="2"/>
  <c r="H228" i="2"/>
  <c r="H499" i="2"/>
  <c r="I499" i="2" s="1"/>
  <c r="H194" i="2" l="1"/>
  <c r="I194" i="2" s="1"/>
  <c r="M194" i="2" s="1"/>
  <c r="M193" i="2"/>
  <c r="M195" i="2"/>
  <c r="M196" i="2"/>
  <c r="M197" i="2"/>
  <c r="M198" i="2"/>
  <c r="M199" i="2"/>
  <c r="M200" i="2"/>
  <c r="M283" i="2"/>
  <c r="M284" i="2"/>
  <c r="M287" i="2"/>
  <c r="M466" i="2"/>
  <c r="M467" i="2"/>
  <c r="H78" i="2"/>
  <c r="H74" i="2"/>
  <c r="I74" i="2" s="1"/>
  <c r="M74" i="2" s="1"/>
  <c r="M76" i="2"/>
  <c r="M77" i="2"/>
  <c r="M78" i="2"/>
  <c r="M79" i="2"/>
  <c r="H115" i="2"/>
  <c r="J115" i="2" s="1"/>
  <c r="M115" i="2"/>
  <c r="M116" i="2"/>
  <c r="M117" i="2"/>
  <c r="M118" i="2"/>
  <c r="M119" i="2"/>
  <c r="M120" i="2"/>
  <c r="M121" i="2"/>
  <c r="M122" i="2"/>
  <c r="M123" i="2"/>
  <c r="H511" i="2"/>
  <c r="J511" i="2" s="1"/>
  <c r="J504" i="2"/>
  <c r="M505" i="2"/>
  <c r="M506" i="2"/>
  <c r="M507" i="2"/>
  <c r="M508" i="2"/>
  <c r="M511" i="2"/>
  <c r="M512" i="2"/>
  <c r="J499" i="2"/>
  <c r="H167" i="2"/>
  <c r="J167" i="2" s="1"/>
  <c r="H164" i="2"/>
  <c r="J164" i="2" s="1"/>
  <c r="M168" i="2"/>
  <c r="M165" i="2"/>
  <c r="I385" i="2"/>
  <c r="M75" i="2"/>
  <c r="M160" i="2"/>
  <c r="M239" i="2"/>
  <c r="M240" i="2"/>
  <c r="H618" i="2"/>
  <c r="I618" i="2" s="1"/>
  <c r="M618" i="2" s="1"/>
  <c r="H613" i="2"/>
  <c r="M620" i="2"/>
  <c r="M621" i="2"/>
  <c r="M622" i="2"/>
  <c r="M617" i="2"/>
  <c r="I302" i="2"/>
  <c r="M302" i="2" s="1"/>
  <c r="M301" i="2"/>
  <c r="M303" i="2"/>
  <c r="M304" i="2"/>
  <c r="M305" i="2"/>
  <c r="H97" i="6" l="1"/>
  <c r="H89" i="6"/>
  <c r="H85" i="2"/>
  <c r="H87" i="2" s="1"/>
  <c r="H88" i="2" s="1"/>
  <c r="I88" i="2" s="1"/>
  <c r="M85" i="2"/>
  <c r="M238" i="2"/>
  <c r="M241" i="2"/>
  <c r="M245" i="2"/>
  <c r="M237" i="2"/>
  <c r="H235" i="2"/>
  <c r="H232" i="2" s="1"/>
  <c r="H734" i="2"/>
  <c r="I734" i="2" s="1"/>
  <c r="H728" i="2" l="1"/>
  <c r="H67" i="2"/>
  <c r="H66" i="2" s="1"/>
  <c r="H158" i="2"/>
  <c r="I158" i="2" s="1"/>
  <c r="M68" i="2"/>
  <c r="M69" i="2"/>
  <c r="M80" i="2"/>
  <c r="M130" i="2"/>
  <c r="M131" i="2"/>
  <c r="M132" i="2"/>
  <c r="M133" i="2"/>
  <c r="M134" i="2"/>
  <c r="M163" i="2"/>
  <c r="M236" i="2" l="1"/>
  <c r="M278" i="2"/>
  <c r="M277" i="2"/>
  <c r="M279" i="2"/>
  <c r="M280" i="2"/>
  <c r="M289" i="2"/>
  <c r="I381" i="2"/>
  <c r="M381" i="2" s="1"/>
  <c r="M382" i="2"/>
  <c r="M383" i="2"/>
  <c r="M384" i="2"/>
  <c r="M385" i="2"/>
  <c r="M386" i="2"/>
  <c r="M387" i="2"/>
  <c r="M388" i="2"/>
  <c r="M389" i="2"/>
  <c r="M390" i="2"/>
  <c r="M391" i="2"/>
  <c r="I463" i="2"/>
  <c r="M463" i="2" s="1"/>
  <c r="M459" i="2"/>
  <c r="M464" i="2"/>
  <c r="M465" i="2"/>
  <c r="M468" i="2"/>
  <c r="I613" i="2" l="1"/>
  <c r="M613" i="2" s="1"/>
  <c r="M615" i="2"/>
  <c r="M616" i="2"/>
  <c r="M619" i="2"/>
  <c r="H585" i="2"/>
  <c r="M614" i="2"/>
  <c r="H82" i="2"/>
  <c r="M306" i="2"/>
  <c r="H86" i="2" l="1"/>
  <c r="I86" i="2" s="1"/>
  <c r="M89" i="2"/>
  <c r="M90" i="2"/>
  <c r="M95" i="2"/>
  <c r="M65" i="2"/>
  <c r="H62" i="2"/>
  <c r="H61" i="2" s="1"/>
  <c r="M63" i="2"/>
  <c r="M64" i="2"/>
  <c r="M60" i="2"/>
  <c r="I61" i="2" l="1"/>
  <c r="H377" i="2"/>
  <c r="I232" i="2"/>
  <c r="M232" i="2" s="1"/>
  <c r="M233" i="2"/>
  <c r="M234" i="2"/>
  <c r="H672" i="2"/>
  <c r="H675" i="2"/>
  <c r="I675" i="2" s="1"/>
  <c r="M379" i="2"/>
  <c r="I298" i="2"/>
  <c r="H296" i="2"/>
  <c r="M169" i="2" l="1"/>
  <c r="M167" i="2"/>
  <c r="M161" i="2"/>
  <c r="I377" i="2"/>
  <c r="M377" i="2" s="1"/>
  <c r="H331" i="2"/>
  <c r="H327" i="2" s="1"/>
  <c r="I327" i="2" s="1"/>
  <c r="M297" i="2"/>
  <c r="M503" i="2" l="1"/>
  <c r="M504" i="2"/>
  <c r="I164" i="2"/>
  <c r="M164" i="2" s="1"/>
  <c r="M513" i="2"/>
  <c r="M514" i="2"/>
  <c r="M376" i="2"/>
  <c r="M725" i="2"/>
  <c r="M378" i="2"/>
  <c r="H719" i="2"/>
  <c r="H319" i="2"/>
  <c r="H723" i="2"/>
  <c r="I723" i="2" s="1"/>
  <c r="M724" i="2"/>
  <c r="M375" i="2"/>
  <c r="M722" i="2"/>
  <c r="M726" i="2"/>
  <c r="H698" i="2" l="1"/>
  <c r="H406" i="2"/>
  <c r="M409" i="2"/>
  <c r="M721" i="2"/>
  <c r="H176" i="2"/>
  <c r="M183" i="2"/>
  <c r="M182" i="2"/>
  <c r="H755" i="2"/>
  <c r="M230" i="2" l="1"/>
  <c r="I455" i="2" l="1"/>
  <c r="M455" i="2" s="1"/>
  <c r="I406" i="2"/>
  <c r="H189" i="2"/>
  <c r="I189" i="2" s="1"/>
  <c r="M189" i="2" s="1"/>
  <c r="H223" i="2"/>
  <c r="I223" i="2" s="1"/>
  <c r="M231" i="2"/>
  <c r="M229" i="2"/>
  <c r="M235" i="2"/>
  <c r="H448" i="2"/>
  <c r="M456" i="2"/>
  <c r="M457" i="2"/>
  <c r="M458" i="2"/>
  <c r="M190" i="2"/>
  <c r="M191" i="2"/>
  <c r="H609" i="2" l="1"/>
  <c r="H608" i="2" l="1"/>
  <c r="I608" i="2" s="1"/>
  <c r="M608" i="2" s="1"/>
  <c r="H598" i="2"/>
  <c r="M610" i="2"/>
  <c r="M611" i="2"/>
  <c r="M612" i="2"/>
  <c r="M406" i="2"/>
  <c r="M405" i="2"/>
  <c r="H398" i="2"/>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F61" i="3"/>
  <c r="D3" i="3"/>
  <c r="H782" i="2"/>
  <c r="M4" i="2"/>
  <c r="M6" i="2"/>
  <c r="M7" i="2"/>
  <c r="M8" i="2"/>
  <c r="M9" i="2"/>
  <c r="M10" i="2"/>
  <c r="M12" i="2"/>
  <c r="M13" i="2"/>
  <c r="M14" i="2"/>
  <c r="M16" i="2"/>
  <c r="M17" i="2"/>
  <c r="M18" i="2"/>
  <c r="M19" i="2"/>
  <c r="M21" i="2"/>
  <c r="M22" i="2"/>
  <c r="M23" i="2"/>
  <c r="M25" i="2"/>
  <c r="M26" i="2"/>
  <c r="M27" i="2"/>
  <c r="M29" i="2"/>
  <c r="M30" i="2"/>
  <c r="M31" i="2"/>
  <c r="M32" i="2"/>
  <c r="M33" i="2"/>
  <c r="M35" i="2"/>
  <c r="M36" i="2"/>
  <c r="M37" i="2"/>
  <c r="M38" i="2"/>
  <c r="M39" i="2"/>
  <c r="M40" i="2"/>
  <c r="M41" i="2"/>
  <c r="M42" i="2"/>
  <c r="M43" i="2"/>
  <c r="M45" i="2"/>
  <c r="M46" i="2"/>
  <c r="M47" i="2"/>
  <c r="M48" i="2"/>
  <c r="M49" i="2"/>
  <c r="M50" i="2"/>
  <c r="M51" i="2"/>
  <c r="M52" i="2"/>
  <c r="M53" i="2"/>
  <c r="M54" i="2"/>
  <c r="M56" i="2"/>
  <c r="M57" i="2"/>
  <c r="M58" i="2"/>
  <c r="M59" i="2"/>
  <c r="M61" i="2"/>
  <c r="M62" i="2"/>
  <c r="M67" i="2"/>
  <c r="M81" i="2"/>
  <c r="M83" i="2"/>
  <c r="M84" i="2"/>
  <c r="M87" i="2"/>
  <c r="M88" i="2"/>
  <c r="M96" i="2"/>
  <c r="M98" i="2"/>
  <c r="M99" i="2"/>
  <c r="M100" i="2"/>
  <c r="M101" i="2"/>
  <c r="M102" i="2"/>
  <c r="M103" i="2"/>
  <c r="M104" i="2"/>
  <c r="M105" i="2"/>
  <c r="M106" i="2"/>
  <c r="M108" i="2"/>
  <c r="M109" i="2"/>
  <c r="M111" i="2"/>
  <c r="M113" i="2"/>
  <c r="M114" i="2"/>
  <c r="M124" i="2"/>
  <c r="M125" i="2"/>
  <c r="M127" i="2"/>
  <c r="M128" i="2"/>
  <c r="M129" i="2"/>
  <c r="M135" i="2"/>
  <c r="M137" i="2"/>
  <c r="M138" i="2"/>
  <c r="M139" i="2"/>
  <c r="M140" i="2"/>
  <c r="M142" i="2"/>
  <c r="M143" i="2"/>
  <c r="M144" i="2"/>
  <c r="M145" i="2"/>
  <c r="M146" i="2"/>
  <c r="M148" i="2"/>
  <c r="M150" i="2"/>
  <c r="M151" i="2"/>
  <c r="M153" i="2"/>
  <c r="M154" i="2"/>
  <c r="M155" i="2"/>
  <c r="M156" i="2"/>
  <c r="M157" i="2"/>
  <c r="M158" i="2"/>
  <c r="M159" i="2"/>
  <c r="M162" i="2"/>
  <c r="M166" i="2"/>
  <c r="M170" i="2"/>
  <c r="M171" i="2"/>
  <c r="M172" i="2"/>
  <c r="M173" i="2"/>
  <c r="M175" i="2"/>
  <c r="M177" i="2"/>
  <c r="M178" i="2"/>
  <c r="M179" i="2"/>
  <c r="M180" i="2"/>
  <c r="M181" i="2"/>
  <c r="M184" i="2"/>
  <c r="M186" i="2"/>
  <c r="M187" i="2"/>
  <c r="M188" i="2"/>
  <c r="M192" i="2"/>
  <c r="M201" i="2"/>
  <c r="M203" i="2"/>
  <c r="M204" i="2"/>
  <c r="M205" i="2"/>
  <c r="M206" i="2"/>
  <c r="M208" i="2"/>
  <c r="M209" i="2"/>
  <c r="M210" i="2"/>
  <c r="M211" i="2"/>
  <c r="M212" i="2"/>
  <c r="M213" i="2"/>
  <c r="M214" i="2"/>
  <c r="M215" i="2"/>
  <c r="M217" i="2"/>
  <c r="M218" i="2"/>
  <c r="M219" i="2"/>
  <c r="M220" i="2"/>
  <c r="M221" i="2"/>
  <c r="M222" i="2"/>
  <c r="M224" i="2"/>
  <c r="M225" i="2"/>
  <c r="M226" i="2"/>
  <c r="M227" i="2"/>
  <c r="M246" i="2"/>
  <c r="M248" i="2"/>
  <c r="M249" i="2"/>
  <c r="M250" i="2"/>
  <c r="M251" i="2"/>
  <c r="M252" i="2"/>
  <c r="M253" i="2"/>
  <c r="M254" i="2"/>
  <c r="M255" i="2"/>
  <c r="M256" i="2"/>
  <c r="M257" i="2"/>
  <c r="M259" i="2"/>
  <c r="M260" i="2"/>
  <c r="M261" i="2"/>
  <c r="M262" i="2"/>
  <c r="M263" i="2"/>
  <c r="M264" i="2"/>
  <c r="M266" i="2"/>
  <c r="M267" i="2"/>
  <c r="M268" i="2"/>
  <c r="M269" i="2"/>
  <c r="M270" i="2"/>
  <c r="M271" i="2"/>
  <c r="M273" i="2"/>
  <c r="M274" i="2"/>
  <c r="M275" i="2"/>
  <c r="M276" i="2"/>
  <c r="M290" i="2"/>
  <c r="M291" i="2"/>
  <c r="M292" i="2"/>
  <c r="M293" i="2"/>
  <c r="M294" i="2"/>
  <c r="M295" i="2"/>
  <c r="M298" i="2"/>
  <c r="M299" i="2"/>
  <c r="M300" i="2"/>
  <c r="M307" i="2"/>
  <c r="M309" i="2"/>
  <c r="M310" i="2"/>
  <c r="M311" i="2"/>
  <c r="M313" i="2"/>
  <c r="M314" i="2"/>
  <c r="M315" i="2"/>
  <c r="M316" i="2"/>
  <c r="M317" i="2"/>
  <c r="M318" i="2"/>
  <c r="M320" i="2"/>
  <c r="M321" i="2"/>
  <c r="M322" i="2"/>
  <c r="M323" i="2"/>
  <c r="M324" i="2"/>
  <c r="M325" i="2"/>
  <c r="M326" i="2"/>
  <c r="M329" i="2"/>
  <c r="M330" i="2"/>
  <c r="M332" i="2"/>
  <c r="M333" i="2"/>
  <c r="M334" i="2"/>
  <c r="M335" i="2"/>
  <c r="M337" i="2"/>
  <c r="M339" i="2"/>
  <c r="M340" i="2"/>
  <c r="M341" i="2"/>
  <c r="M342" i="2"/>
  <c r="M343" i="2"/>
  <c r="M344" i="2"/>
  <c r="M346" i="2"/>
  <c r="M347" i="2"/>
  <c r="M348" i="2"/>
  <c r="M349" i="2"/>
  <c r="M350" i="2"/>
  <c r="M351" i="2"/>
  <c r="M353" i="2"/>
  <c r="M354" i="2"/>
  <c r="M355" i="2"/>
  <c r="M356" i="2"/>
  <c r="M358" i="2"/>
  <c r="M359" i="2"/>
  <c r="M360" i="2"/>
  <c r="M361" i="2"/>
  <c r="M362" i="2"/>
  <c r="M363" i="2"/>
  <c r="M365" i="2"/>
  <c r="M366" i="2"/>
  <c r="M367" i="2"/>
  <c r="M368" i="2"/>
  <c r="M369" i="2"/>
  <c r="M370" i="2"/>
  <c r="M372" i="2"/>
  <c r="M373" i="2"/>
  <c r="M374" i="2"/>
  <c r="M380" i="2"/>
  <c r="M392" i="2"/>
  <c r="M394" i="2"/>
  <c r="M396" i="2"/>
  <c r="M397" i="2"/>
  <c r="M399" i="2"/>
  <c r="M400" i="2"/>
  <c r="M401" i="2"/>
  <c r="M402" i="2"/>
  <c r="M403" i="2"/>
  <c r="M404" i="2"/>
  <c r="M407" i="2"/>
  <c r="M408" i="2"/>
  <c r="M410" i="2"/>
  <c r="M411" i="2"/>
  <c r="M413" i="2"/>
  <c r="M414" i="2"/>
  <c r="M415" i="2"/>
  <c r="M416" i="2"/>
  <c r="M418" i="2"/>
  <c r="M419" i="2"/>
  <c r="M420" i="2"/>
  <c r="M421" i="2"/>
  <c r="M422" i="2"/>
  <c r="M423" i="2"/>
  <c r="M424" i="2"/>
  <c r="M425" i="2"/>
  <c r="M427" i="2"/>
  <c r="M428" i="2"/>
  <c r="M429" i="2"/>
  <c r="M430" i="2"/>
  <c r="M431" i="2"/>
  <c r="M433" i="2"/>
  <c r="M434" i="2"/>
  <c r="M435" i="2"/>
  <c r="M436" i="2"/>
  <c r="M437" i="2"/>
  <c r="M438" i="2"/>
  <c r="M439" i="2"/>
  <c r="M441" i="2"/>
  <c r="M442" i="2"/>
  <c r="M443" i="2"/>
  <c r="M444" i="2"/>
  <c r="M445" i="2"/>
  <c r="M446" i="2"/>
  <c r="M447" i="2"/>
  <c r="M449" i="2"/>
  <c r="M450" i="2"/>
  <c r="M451" i="2"/>
  <c r="M452" i="2"/>
  <c r="M453" i="2"/>
  <c r="M454" i="2"/>
  <c r="M469" i="2"/>
  <c r="M470" i="2"/>
  <c r="M472" i="2"/>
  <c r="M473" i="2"/>
  <c r="M474" i="2"/>
  <c r="M475" i="2"/>
  <c r="M477" i="2"/>
  <c r="M478" i="2"/>
  <c r="M479" i="2"/>
  <c r="M480" i="2"/>
  <c r="M481" i="2"/>
  <c r="M483" i="2"/>
  <c r="M484" i="2"/>
  <c r="M485" i="2"/>
  <c r="M486" i="2"/>
  <c r="M488" i="2"/>
  <c r="M489" i="2"/>
  <c r="M490" i="2"/>
  <c r="M491" i="2"/>
  <c r="M492" i="2"/>
  <c r="M493" i="2"/>
  <c r="M494" i="2"/>
  <c r="M495" i="2"/>
  <c r="M496" i="2"/>
  <c r="M497" i="2"/>
  <c r="M498" i="2"/>
  <c r="M500" i="2"/>
  <c r="M501" i="2"/>
  <c r="M502" i="2"/>
  <c r="M515" i="2"/>
  <c r="M516" i="2"/>
  <c r="M518" i="2"/>
  <c r="M519" i="2"/>
  <c r="M520" i="2"/>
  <c r="M521" i="2"/>
  <c r="M522" i="2"/>
  <c r="M524" i="2"/>
  <c r="M525" i="2"/>
  <c r="M526" i="2"/>
  <c r="M527" i="2"/>
  <c r="M529" i="2"/>
  <c r="M530" i="2"/>
  <c r="M531" i="2"/>
  <c r="M532" i="2"/>
  <c r="M533" i="2"/>
  <c r="M534" i="2"/>
  <c r="M535" i="2"/>
  <c r="M536" i="2"/>
  <c r="M537" i="2"/>
  <c r="M538" i="2"/>
  <c r="M539" i="2"/>
  <c r="M540" i="2"/>
  <c r="M541" i="2"/>
  <c r="M542" i="2"/>
  <c r="M544" i="2"/>
  <c r="M545" i="2"/>
  <c r="M546" i="2"/>
  <c r="M547" i="2"/>
  <c r="M549" i="2"/>
  <c r="M550" i="2"/>
  <c r="M551" i="2"/>
  <c r="M552" i="2"/>
  <c r="M554" i="2"/>
  <c r="M555" i="2"/>
  <c r="M556" i="2"/>
  <c r="M557" i="2"/>
  <c r="M558" i="2"/>
  <c r="M560" i="2"/>
  <c r="M561" i="2"/>
  <c r="M562" i="2"/>
  <c r="M563" i="2"/>
  <c r="M565" i="2"/>
  <c r="M566" i="2"/>
  <c r="M567" i="2"/>
  <c r="M569" i="2"/>
  <c r="M570" i="2"/>
  <c r="M571" i="2"/>
  <c r="M572" i="2"/>
  <c r="M573" i="2"/>
  <c r="M575" i="2"/>
  <c r="M576" i="2"/>
  <c r="M577" i="2"/>
  <c r="M578" i="2"/>
  <c r="M579" i="2"/>
  <c r="M581" i="2"/>
  <c r="M582" i="2"/>
  <c r="M583" i="2"/>
  <c r="M585" i="2"/>
  <c r="M586" i="2"/>
  <c r="M587" i="2"/>
  <c r="M588" i="2"/>
  <c r="M589" i="2"/>
  <c r="M591" i="2"/>
  <c r="M592" i="2"/>
  <c r="M593" i="2"/>
  <c r="M594" i="2"/>
  <c r="M596" i="2"/>
  <c r="M597" i="2"/>
  <c r="M599" i="2"/>
  <c r="M600" i="2"/>
  <c r="M601" i="2"/>
  <c r="M602" i="2"/>
  <c r="M603" i="2"/>
  <c r="M604" i="2"/>
  <c r="M605" i="2"/>
  <c r="M606" i="2"/>
  <c r="M607" i="2"/>
  <c r="M609" i="2"/>
  <c r="M623" i="2"/>
  <c r="M624" i="2"/>
  <c r="M626" i="2"/>
  <c r="M627" i="2"/>
  <c r="M628" i="2"/>
  <c r="M629" i="2"/>
  <c r="M631" i="2"/>
  <c r="M633" i="2"/>
  <c r="M634" i="2"/>
  <c r="M635" i="2"/>
  <c r="M636" i="2"/>
  <c r="M638" i="2"/>
  <c r="M639" i="2"/>
  <c r="M640" i="2"/>
  <c r="M641" i="2"/>
  <c r="M642" i="2"/>
  <c r="M643" i="2"/>
  <c r="M644" i="2"/>
  <c r="M646" i="2"/>
  <c r="M648" i="2"/>
  <c r="M649" i="2"/>
  <c r="M650" i="2"/>
  <c r="M651" i="2"/>
  <c r="M653" i="2"/>
  <c r="M654" i="2"/>
  <c r="M655" i="2"/>
  <c r="M656" i="2"/>
  <c r="M657" i="2"/>
  <c r="M659" i="2"/>
  <c r="M660" i="2"/>
  <c r="M661" i="2"/>
  <c r="M662" i="2"/>
  <c r="M664" i="2"/>
  <c r="M665" i="2"/>
  <c r="M666" i="2"/>
  <c r="M667" i="2"/>
  <c r="M669" i="2"/>
  <c r="M670" i="2"/>
  <c r="M671" i="2"/>
  <c r="M673" i="2"/>
  <c r="M674" i="2"/>
  <c r="M680" i="2"/>
  <c r="M681" i="2"/>
  <c r="M683" i="2"/>
  <c r="M684" i="2"/>
  <c r="M686" i="2"/>
  <c r="M687" i="2"/>
  <c r="M688" i="2"/>
  <c r="M689" i="2"/>
  <c r="M691" i="2"/>
  <c r="M692" i="2"/>
  <c r="M693" i="2"/>
  <c r="M694" i="2"/>
  <c r="M696" i="2"/>
  <c r="M697" i="2"/>
  <c r="M699" i="2"/>
  <c r="M700" i="2"/>
  <c r="M701" i="2"/>
  <c r="M702" i="2"/>
  <c r="M703" i="2"/>
  <c r="M704" i="2"/>
  <c r="M706" i="2"/>
  <c r="M707" i="2"/>
  <c r="M708" i="2"/>
  <c r="M710" i="2"/>
  <c r="M711" i="2"/>
  <c r="M713" i="2"/>
  <c r="M714" i="2"/>
  <c r="M715" i="2"/>
  <c r="M716" i="2"/>
  <c r="M717" i="2"/>
  <c r="M718" i="2"/>
  <c r="M720" i="2"/>
  <c r="M727" i="2"/>
  <c r="M729" i="2"/>
  <c r="M730" i="2"/>
  <c r="M731" i="2"/>
  <c r="M732" i="2"/>
  <c r="M734" i="2"/>
  <c r="M735" i="2"/>
  <c r="M736" i="2"/>
  <c r="M738" i="2"/>
  <c r="M739" i="2"/>
  <c r="M741" i="2"/>
  <c r="M743" i="2"/>
  <c r="M744" i="2"/>
  <c r="M745" i="2"/>
  <c r="M747" i="2"/>
  <c r="M748" i="2"/>
  <c r="M749" i="2"/>
  <c r="M751" i="2"/>
  <c r="M752" i="2"/>
  <c r="M753" i="2"/>
  <c r="M754" i="2"/>
  <c r="M756" i="2"/>
  <c r="M757" i="2"/>
  <c r="M758" i="2"/>
  <c r="M759" i="2"/>
  <c r="M760" i="2"/>
  <c r="M762" i="2"/>
  <c r="M763" i="2"/>
  <c r="M764" i="2"/>
  <c r="M765" i="2"/>
  <c r="M766" i="2"/>
  <c r="M767" i="2"/>
  <c r="M768" i="2"/>
  <c r="M769" i="2"/>
  <c r="M771" i="2"/>
  <c r="M772" i="2"/>
  <c r="M773" i="2"/>
  <c r="M774" i="2"/>
  <c r="M775" i="2"/>
  <c r="M777" i="2"/>
  <c r="M778" i="2"/>
  <c r="M779" i="2"/>
  <c r="M780" i="2"/>
  <c r="M781" i="2"/>
  <c r="M783" i="2"/>
  <c r="M784" i="2"/>
  <c r="M785" i="2"/>
  <c r="M786" i="2"/>
  <c r="M787" i="2"/>
  <c r="M788" i="2"/>
  <c r="M789" i="2"/>
  <c r="M790" i="2"/>
  <c r="H590" i="2"/>
  <c r="I590" i="2" s="1"/>
  <c r="M590" i="2" s="1"/>
  <c r="H272" i="2"/>
  <c r="H44" i="2"/>
  <c r="H56" i="2"/>
  <c r="H55" i="2" s="1"/>
  <c r="H372" i="2" l="1"/>
  <c r="H371" i="2" s="1"/>
  <c r="I371" i="2" l="1"/>
  <c r="M371" i="2" s="1"/>
  <c r="H364" i="2"/>
  <c r="I448" i="2"/>
  <c r="M448" i="2" s="1"/>
  <c r="I782" i="2"/>
  <c r="M782" i="2" s="1"/>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60" i="3"/>
  <c r="L62" i="3"/>
  <c r="L63" i="3"/>
  <c r="L64" i="3"/>
  <c r="L65" i="3"/>
  <c r="L66" i="3"/>
  <c r="L67" i="3"/>
  <c r="L68" i="3"/>
  <c r="L69" i="3"/>
  <c r="L70" i="3"/>
  <c r="L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60" i="3"/>
  <c r="I62" i="3"/>
  <c r="I63" i="3"/>
  <c r="I64" i="3"/>
  <c r="I65" i="3"/>
  <c r="I66" i="3"/>
  <c r="I67" i="3"/>
  <c r="I68" i="3"/>
  <c r="I69" i="3"/>
  <c r="I70" i="3"/>
  <c r="I71" i="3"/>
  <c r="I27"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60" i="3"/>
  <c r="F62" i="3"/>
  <c r="F63" i="3"/>
  <c r="F64" i="3"/>
  <c r="F65" i="3"/>
  <c r="F66" i="3"/>
  <c r="F67" i="3"/>
  <c r="F68" i="3"/>
  <c r="F69" i="3"/>
  <c r="H653" i="2"/>
  <c r="H523" i="2"/>
  <c r="I523" i="2" s="1"/>
  <c r="M523" i="2" s="1"/>
  <c r="H647" i="2"/>
  <c r="I647" i="2" s="1"/>
  <c r="M647" i="2" s="1"/>
  <c r="H652" i="2" l="1"/>
  <c r="I652" i="2" s="1"/>
  <c r="M652" i="2" s="1"/>
  <c r="H528" i="2"/>
  <c r="I528" i="2" s="1"/>
  <c r="M528" i="2" s="1"/>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G3" i="3"/>
  <c r="J3" i="3"/>
  <c r="K3" i="3"/>
  <c r="E3" i="3"/>
  <c r="M3" i="3"/>
  <c r="F30" i="3"/>
  <c r="F28" i="3"/>
  <c r="F27" i="3"/>
  <c r="L26" i="3"/>
  <c r="I26" i="3"/>
  <c r="F26" i="3"/>
  <c r="L25" i="3"/>
  <c r="I25" i="3"/>
  <c r="F25" i="3"/>
  <c r="L24" i="3"/>
  <c r="I24" i="3"/>
  <c r="F24" i="3"/>
  <c r="L23" i="3"/>
  <c r="I23" i="3"/>
  <c r="F23" i="3"/>
  <c r="L22" i="3"/>
  <c r="I22" i="3"/>
  <c r="F22" i="3"/>
  <c r="L21" i="3"/>
  <c r="I21" i="3"/>
  <c r="F21" i="3"/>
  <c r="L20" i="3"/>
  <c r="I20" i="3"/>
  <c r="F20" i="3"/>
  <c r="L19" i="3"/>
  <c r="I19" i="3"/>
  <c r="F19" i="3"/>
  <c r="L18" i="3"/>
  <c r="I18" i="3"/>
  <c r="F18" i="3"/>
  <c r="L17" i="3"/>
  <c r="I17" i="3"/>
  <c r="F17" i="3"/>
  <c r="L16" i="3"/>
  <c r="I16" i="3"/>
  <c r="F16" i="3"/>
  <c r="L15" i="3"/>
  <c r="I15" i="3"/>
  <c r="F15" i="3"/>
  <c r="L14" i="3"/>
  <c r="I14" i="3"/>
  <c r="F14" i="3"/>
  <c r="L13" i="3"/>
  <c r="I13" i="3"/>
  <c r="F13" i="3"/>
  <c r="L12" i="3"/>
  <c r="I12" i="3"/>
  <c r="L11" i="3"/>
  <c r="I11" i="3"/>
  <c r="F11" i="3"/>
  <c r="L10" i="3"/>
  <c r="I10" i="3"/>
  <c r="F10" i="3"/>
  <c r="L9" i="3"/>
  <c r="I9" i="3"/>
  <c r="F9" i="3"/>
  <c r="L8" i="3"/>
  <c r="I8" i="3"/>
  <c r="L7" i="3"/>
  <c r="I7" i="3"/>
  <c r="F7" i="3"/>
  <c r="L6" i="3"/>
  <c r="I6" i="3"/>
  <c r="F6" i="3"/>
  <c r="L5" i="3"/>
  <c r="H5" i="3"/>
  <c r="B5" i="3" s="1"/>
  <c r="F5" i="3"/>
  <c r="H216" i="2"/>
  <c r="H153" i="2"/>
  <c r="H152" i="2" s="1"/>
  <c r="I698" i="2"/>
  <c r="M698" i="2" s="1"/>
  <c r="H97" i="2"/>
  <c r="I574" i="2"/>
  <c r="H776" i="2"/>
  <c r="H3" i="3" l="1"/>
  <c r="L3" i="3"/>
  <c r="F3" i="3"/>
  <c r="I5" i="3"/>
  <c r="I3" i="3" s="1"/>
  <c r="I216" i="2"/>
  <c r="M216" i="2" s="1"/>
  <c r="I364" i="2"/>
  <c r="M364" i="2" s="1"/>
  <c r="I44" i="2"/>
  <c r="H440" i="2"/>
  <c r="I176" i="2"/>
  <c r="M176" i="2" s="1"/>
  <c r="M499" i="2"/>
  <c r="H34" i="2"/>
  <c r="I34" i="2" s="1"/>
  <c r="M34" i="2" s="1"/>
  <c r="I112" i="2"/>
  <c r="M112" i="2" s="1"/>
  <c r="H5" i="2"/>
  <c r="I5" i="2" s="1"/>
  <c r="M5" i="2" s="1"/>
  <c r="H15" i="2"/>
  <c r="I15" i="2" s="1"/>
  <c r="M15" i="2" s="1"/>
  <c r="H20" i="2"/>
  <c r="H25" i="2"/>
  <c r="H24" i="2" s="1"/>
  <c r="I24" i="2" s="1"/>
  <c r="M24" i="2" s="1"/>
  <c r="H28" i="2"/>
  <c r="I28" i="2" s="1"/>
  <c r="M28" i="2" s="1"/>
  <c r="I82" i="2"/>
  <c r="M82" i="2" s="1"/>
  <c r="I97" i="2"/>
  <c r="M97" i="2" s="1"/>
  <c r="H107" i="2"/>
  <c r="I107" i="2" s="1"/>
  <c r="M107" i="2" s="1"/>
  <c r="H110" i="2"/>
  <c r="I110" i="2" s="1"/>
  <c r="M110" i="2" s="1"/>
  <c r="H126" i="2"/>
  <c r="H136" i="2"/>
  <c r="I136" i="2" s="1"/>
  <c r="M136" i="2" s="1"/>
  <c r="H141" i="2"/>
  <c r="I141" i="2" s="1"/>
  <c r="M141" i="2" s="1"/>
  <c r="H147" i="2"/>
  <c r="I147" i="2" s="1"/>
  <c r="M147" i="2" s="1"/>
  <c r="H149" i="2"/>
  <c r="I149" i="2" s="1"/>
  <c r="M149" i="2" s="1"/>
  <c r="H174" i="2"/>
  <c r="I174" i="2" s="1"/>
  <c r="M174" i="2" s="1"/>
  <c r="H185" i="2"/>
  <c r="I185" i="2" s="1"/>
  <c r="M185" i="2" s="1"/>
  <c r="H203" i="2"/>
  <c r="H202" i="2" s="1"/>
  <c r="I202" i="2" s="1"/>
  <c r="M202" i="2" s="1"/>
  <c r="H207" i="2"/>
  <c r="I207" i="2" s="1"/>
  <c r="M207" i="2" s="1"/>
  <c r="H247" i="2"/>
  <c r="I247" i="2" s="1"/>
  <c r="M247" i="2" s="1"/>
  <c r="H258" i="2"/>
  <c r="I258" i="2" s="1"/>
  <c r="M258" i="2" s="1"/>
  <c r="H266" i="2"/>
  <c r="H265" i="2" s="1"/>
  <c r="I265" i="2" s="1"/>
  <c r="M265" i="2" s="1"/>
  <c r="H308" i="2"/>
  <c r="I308" i="2" s="1"/>
  <c r="M308" i="2" s="1"/>
  <c r="H312" i="2"/>
  <c r="I312" i="2" s="1"/>
  <c r="M312" i="2" s="1"/>
  <c r="I319" i="2"/>
  <c r="M319" i="2" s="1"/>
  <c r="H336" i="2"/>
  <c r="I336" i="2" s="1"/>
  <c r="M336" i="2" s="1"/>
  <c r="H339" i="2"/>
  <c r="H338" i="2" s="1"/>
  <c r="I338" i="2" s="1"/>
  <c r="M338" i="2" s="1"/>
  <c r="H345" i="2"/>
  <c r="I345" i="2" s="1"/>
  <c r="M345" i="2" s="1"/>
  <c r="H352" i="2"/>
  <c r="I352" i="2" s="1"/>
  <c r="M352" i="2" s="1"/>
  <c r="H357" i="2"/>
  <c r="I357" i="2" s="1"/>
  <c r="M357" i="2" s="1"/>
  <c r="H393" i="2"/>
  <c r="I393" i="2" s="1"/>
  <c r="M393" i="2" s="1"/>
  <c r="H395" i="2"/>
  <c r="I395" i="2" s="1"/>
  <c r="M395" i="2" s="1"/>
  <c r="I398" i="2"/>
  <c r="M398" i="2" s="1"/>
  <c r="H412" i="2"/>
  <c r="I412" i="2" s="1"/>
  <c r="M412" i="2" s="1"/>
  <c r="H418" i="2"/>
  <c r="H417" i="2" s="1"/>
  <c r="I417" i="2" s="1"/>
  <c r="M417" i="2" s="1"/>
  <c r="H426" i="2"/>
  <c r="I426" i="2" s="1"/>
  <c r="M426" i="2" s="1"/>
  <c r="H432" i="2"/>
  <c r="I432" i="2" s="1"/>
  <c r="M432" i="2" s="1"/>
  <c r="H471" i="2"/>
  <c r="I471" i="2" s="1"/>
  <c r="M471" i="2" s="1"/>
  <c r="H476" i="2"/>
  <c r="I476" i="2" s="1"/>
  <c r="M476" i="2" s="1"/>
  <c r="H483" i="2"/>
  <c r="H482" i="2" s="1"/>
  <c r="I482" i="2" s="1"/>
  <c r="M482" i="2" s="1"/>
  <c r="H487" i="2"/>
  <c r="I487" i="2" s="1"/>
  <c r="M487" i="2" s="1"/>
  <c r="H517" i="2"/>
  <c r="I517" i="2" s="1"/>
  <c r="M517" i="2" s="1"/>
  <c r="H543" i="2"/>
  <c r="I543" i="2" s="1"/>
  <c r="M543" i="2" s="1"/>
  <c r="H553" i="2"/>
  <c r="I553" i="2" s="1"/>
  <c r="M553" i="2" s="1"/>
  <c r="H559" i="2"/>
  <c r="I559" i="2" s="1"/>
  <c r="M559" i="2" s="1"/>
  <c r="H564" i="2"/>
  <c r="I564" i="2" s="1"/>
  <c r="M564" i="2" s="1"/>
  <c r="H568" i="2"/>
  <c r="I568" i="2" s="1"/>
  <c r="M568" i="2" s="1"/>
  <c r="M574" i="2"/>
  <c r="H595" i="2"/>
  <c r="I595" i="2" s="1"/>
  <c r="M595" i="2" s="1"/>
  <c r="I598" i="2"/>
  <c r="M598" i="2" s="1"/>
  <c r="H625" i="2"/>
  <c r="I625" i="2" s="1"/>
  <c r="M625" i="2" s="1"/>
  <c r="H630" i="2"/>
  <c r="I630" i="2" s="1"/>
  <c r="M630" i="2" s="1"/>
  <c r="H632" i="2"/>
  <c r="I632" i="2" s="1"/>
  <c r="M632" i="2" s="1"/>
  <c r="H637" i="2"/>
  <c r="I637" i="2" s="1"/>
  <c r="M637" i="2" s="1"/>
  <c r="H645" i="2"/>
  <c r="I645" i="2" s="1"/>
  <c r="M645" i="2" s="1"/>
  <c r="H658" i="2"/>
  <c r="I658" i="2" s="1"/>
  <c r="M658" i="2" s="1"/>
  <c r="H663" i="2"/>
  <c r="I663" i="2" s="1"/>
  <c r="M663" i="2" s="1"/>
  <c r="H668" i="2"/>
  <c r="I668" i="2" s="1"/>
  <c r="M668" i="2" s="1"/>
  <c r="I672" i="2"/>
  <c r="M672" i="2" s="1"/>
  <c r="H682" i="2"/>
  <c r="I682" i="2" s="1"/>
  <c r="M682" i="2" s="1"/>
  <c r="H686" i="2"/>
  <c r="H685" i="2" s="1"/>
  <c r="I685" i="2" s="1"/>
  <c r="M685" i="2" s="1"/>
  <c r="H690" i="2"/>
  <c r="I690" i="2" s="1"/>
  <c r="M690" i="2" s="1"/>
  <c r="H695" i="2"/>
  <c r="I695" i="2" s="1"/>
  <c r="M695" i="2" s="1"/>
  <c r="H705" i="2"/>
  <c r="I705" i="2" s="1"/>
  <c r="M705" i="2" s="1"/>
  <c r="H709" i="2"/>
  <c r="I709" i="2" s="1"/>
  <c r="M709" i="2" s="1"/>
  <c r="H712" i="2"/>
  <c r="I712" i="2" s="1"/>
  <c r="M712" i="2" s="1"/>
  <c r="M733" i="2"/>
  <c r="H740" i="2"/>
  <c r="I740" i="2" s="1"/>
  <c r="M740" i="2" s="1"/>
  <c r="H746" i="2"/>
  <c r="I746" i="2" s="1"/>
  <c r="M746" i="2" s="1"/>
  <c r="H750" i="2"/>
  <c r="I750" i="2" s="1"/>
  <c r="M750" i="2" s="1"/>
  <c r="H761" i="2"/>
  <c r="I761" i="2" s="1"/>
  <c r="M761" i="2" s="1"/>
  <c r="H770" i="2"/>
  <c r="I770" i="2" s="1"/>
  <c r="M770" i="2" s="1"/>
  <c r="I776" i="2"/>
  <c r="M776" i="2" s="1"/>
  <c r="I742" i="2"/>
  <c r="M742" i="2" s="1"/>
  <c r="I679" i="2"/>
  <c r="M679" i="2" s="1"/>
  <c r="I678" i="2"/>
  <c r="M678" i="2" s="1"/>
  <c r="I677" i="2"/>
  <c r="M677" i="2" s="1"/>
  <c r="M676" i="2"/>
  <c r="M675" i="2"/>
  <c r="I548" i="2"/>
  <c r="M548" i="2" s="1"/>
  <c r="O440" i="2"/>
  <c r="J345" i="2"/>
  <c r="I331" i="2"/>
  <c r="M331" i="2" s="1"/>
  <c r="M328" i="2"/>
  <c r="M327" i="2"/>
  <c r="M86" i="2"/>
  <c r="I11" i="2"/>
  <c r="M11" i="2" s="1"/>
  <c r="I126" i="2" l="1"/>
  <c r="M126" i="2" s="1"/>
  <c r="I66" i="2"/>
  <c r="M66" i="2" s="1"/>
  <c r="I20" i="2"/>
  <c r="M20" i="2" s="1"/>
  <c r="I728" i="2"/>
  <c r="M728" i="2" s="1"/>
  <c r="I440" i="2"/>
  <c r="M440" i="2" s="1"/>
  <c r="M44" i="2"/>
  <c r="I296" i="2"/>
  <c r="M296" i="2" s="1"/>
  <c r="I272" i="2"/>
  <c r="M272" i="2" s="1"/>
  <c r="M723" i="2" l="1"/>
  <c r="I152" i="2"/>
  <c r="M152" i="2" s="1"/>
  <c r="M223" i="2"/>
  <c r="I228" i="2"/>
  <c r="M228" i="2" s="1"/>
  <c r="I719" i="2" l="1"/>
  <c r="M719" i="2" s="1"/>
  <c r="I55" i="2"/>
  <c r="M55" i="2" s="1"/>
  <c r="I755" i="2"/>
  <c r="M755" i="2" s="1"/>
  <c r="I216" i="7"/>
  <c r="G216" i="7" s="1"/>
  <c r="G532" i="7"/>
  <c r="I148" i="7"/>
  <c r="G148" i="7" s="1"/>
  <c r="I222" i="7"/>
  <c r="G222" i="7" s="1"/>
  <c r="G416" i="7"/>
  <c r="I283" i="7"/>
  <c r="G283" i="7" s="1"/>
  <c r="I73" i="7"/>
  <c r="G73" i="7" s="1"/>
  <c r="I177" i="7"/>
  <c r="G177" i="7" s="1"/>
  <c r="J12" i="10" l="1"/>
  <c r="G1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Nguyễn Thị Minh Thư</author>
  </authors>
  <commentList>
    <comment ref="E85" authorId="0" shapeId="0" xr:uid="{93572B7E-AC26-4453-84B9-6C67145F8EA7}">
      <text>
        <r>
          <rPr>
            <b/>
            <sz val="9"/>
            <color indexed="81"/>
            <rFont val="Tahoma"/>
            <family val="2"/>
          </rPr>
          <t>Nguyễn Thị Minh Thư:</t>
        </r>
        <r>
          <rPr>
            <sz val="9"/>
            <color indexed="81"/>
            <rFont val="Tahoma"/>
            <family val="2"/>
          </rPr>
          <t xml:space="preserve">
Đôn lên do huỷ hoá đơn cũ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Nguyễn Thị Minh Thư</author>
  </authors>
  <commentList>
    <comment ref="E51" authorId="0" shapeId="0" xr:uid="{A65A5A03-4ADA-42E5-8985-DE85D3915FC0}">
      <text>
        <r>
          <rPr>
            <b/>
            <sz val="9"/>
            <color indexed="81"/>
            <rFont val="Tahoma"/>
            <family val="2"/>
          </rPr>
          <t>Nguyễn Thị Minh Thư:</t>
        </r>
        <r>
          <rPr>
            <sz val="9"/>
            <color indexed="81"/>
            <rFont val="Tahoma"/>
            <family val="2"/>
          </rPr>
          <t xml:space="preserve">
Đôn lên do huỷ hoá đơn cũ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Nguyễn Thị Minh Thư</author>
  </authors>
  <commentList>
    <comment ref="E59" authorId="0" shapeId="0" xr:uid="{E6A616C2-E426-42CF-9C42-288052C8EA0F}">
      <text>
        <r>
          <rPr>
            <b/>
            <sz val="9"/>
            <color indexed="81"/>
            <rFont val="Tahoma"/>
            <family val="2"/>
          </rPr>
          <t>Nguyễn Thị Minh Thư:</t>
        </r>
        <r>
          <rPr>
            <sz val="9"/>
            <color indexed="81"/>
            <rFont val="Tahoma"/>
            <family val="2"/>
          </rPr>
          <t xml:space="preserve">
Đôn lên do huỷ hoá đơn cũ</t>
        </r>
      </text>
    </comment>
  </commentList>
</comments>
</file>

<file path=xl/sharedStrings.xml><?xml version="1.0" encoding="utf-8"?>
<sst xmlns="http://schemas.openxmlformats.org/spreadsheetml/2006/main" count="4390" uniqueCount="364">
  <si>
    <t>Mã SP</t>
  </si>
  <si>
    <t>Ngày giao hàng</t>
  </si>
  <si>
    <t>ĐVT</t>
  </si>
  <si>
    <t>Số  lượng trên ĐH</t>
  </si>
  <si>
    <t>Số  lượng giao</t>
  </si>
  <si>
    <t>Đơn giá</t>
  </si>
  <si>
    <t>Cuộn vải PP dệt trong suốt, dệt caro, khổ 50cm, định lượng 90gr</t>
  </si>
  <si>
    <t>DH24.10.054</t>
  </si>
  <si>
    <t>Kg</t>
  </si>
  <si>
    <t>Cuộn vải PP dệt trong suốt, dệt caro, khổ 36 cm, định lượng 83gr</t>
  </si>
  <si>
    <t>ĐH25.04.221</t>
  </si>
  <si>
    <t>Cuộn vải PP dệt trong suốt, dệt caro, khổ 50cm, định lượng 83gr</t>
  </si>
  <si>
    <t>ĐH23.11.074</t>
  </si>
  <si>
    <t>DH24.11.017</t>
  </si>
  <si>
    <t>DH24.12.129</t>
  </si>
  <si>
    <t>ĐH25.01.065</t>
  </si>
  <si>
    <t>DH25.02.063</t>
  </si>
  <si>
    <t>50/85</t>
  </si>
  <si>
    <t>ĐH25.03.202</t>
  </si>
  <si>
    <t>DH25.04.090</t>
  </si>
  <si>
    <t>DH24.10.029</t>
  </si>
  <si>
    <t>kg</t>
  </si>
  <si>
    <t>DH24.10.073</t>
  </si>
  <si>
    <t>Cuộn vải PP dệt trong suốt, dệt caro, khổ 60cm, định lượng 86gr</t>
  </si>
  <si>
    <t>DH24.11.058</t>
  </si>
  <si>
    <t>Cuộn vải PP dệt trong suốt, dệt caro, khổ 38cm, định lượng 83gr</t>
  </si>
  <si>
    <t>Cuộn vải PP dệt trong suốt, dệt caro, khổ 45cm, định lượng 83gr</t>
  </si>
  <si>
    <t>06DE-TCA-K550-03</t>
  </si>
  <si>
    <t>DH24.09.163</t>
  </si>
  <si>
    <t>DH24.02.025</t>
  </si>
  <si>
    <t>ĐH24.03.139</t>
  </si>
  <si>
    <t>DH25.01.127</t>
  </si>
  <si>
    <t>ĐH25.03.099</t>
  </si>
  <si>
    <t>Cuộn vải PP dệt trong suốt, dệt caro, khổ 45cm, định lượng 86gr</t>
  </si>
  <si>
    <t>DH24.05.029</t>
  </si>
  <si>
    <t>DH25.04.150</t>
  </si>
  <si>
    <t>06DE-TCA-K500-10</t>
  </si>
  <si>
    <t>DH25.02.053</t>
  </si>
  <si>
    <t>DH25.02.044</t>
  </si>
  <si>
    <t>DH25.01.002</t>
  </si>
  <si>
    <t>DH25.02.011</t>
  </si>
  <si>
    <t>DH25,02,210</t>
  </si>
  <si>
    <t>DH24.08.011</t>
  </si>
  <si>
    <t>KG</t>
  </si>
  <si>
    <t>DH25.02.106</t>
  </si>
  <si>
    <t>DH25.03.025</t>
  </si>
  <si>
    <t>DH25.04.158</t>
  </si>
  <si>
    <t>DH24.08.116</t>
  </si>
  <si>
    <t>DH25.01.096</t>
  </si>
  <si>
    <t>DH.24.02.040</t>
  </si>
  <si>
    <t>06DE-TCA-K500-08</t>
  </si>
  <si>
    <t>DH.24.11.058</t>
  </si>
  <si>
    <t>đổi khổ 50/90</t>
  </si>
  <si>
    <t>DH25.01.065</t>
  </si>
  <si>
    <t>60/96 dệt xếp</t>
  </si>
  <si>
    <t>46/86 dx</t>
  </si>
  <si>
    <t>Dh25.04.044</t>
  </si>
  <si>
    <t>40/90đục</t>
  </si>
  <si>
    <t>DH24.11.125</t>
  </si>
  <si>
    <t>DH25.01.114</t>
  </si>
  <si>
    <t>DH25.02.133</t>
  </si>
  <si>
    <t>DH25.03.044</t>
  </si>
  <si>
    <t>Cuộn vải PP dệt trắng sữa, dệt Caro, khổ 52cm, định lượng 92gr</t>
  </si>
  <si>
    <t>Hàng hóa và yêu cầu kỹ thuật:</t>
  </si>
  <si>
    <t>Cuộn vải PP dệt trắng Sữa, dệt caro, khổ 50cm, định lượng 83gr</t>
  </si>
  <si>
    <t>- Định lượng mành dệt 83g/m2±3%;</t>
  </si>
  <si>
    <t>DH24.08.159</t>
  </si>
  <si>
    <t>ĐH25.02.210</t>
  </si>
  <si>
    <t>Cuộn vải PP dệt trắng sữa, dệt Caro, khổ 55cm, định lượng 90gr</t>
  </si>
  <si>
    <t>Cuộn vải PP dệt trắng sữa, dệt Caro, khổ 50cm, định lượng 74gr</t>
  </si>
  <si>
    <t>DH25.04.208</t>
  </si>
  <si>
    <t>Cuộn vải PP dệt trắng sữa, dệt Caro, khổ 60cm, định lượng 106gr</t>
  </si>
  <si>
    <t>ĐH24.10.078</t>
  </si>
  <si>
    <t>ĐH25.01.089</t>
  </si>
  <si>
    <t>Cuộn vải PP dệt trắng sữa, dệt Caro, khổ 36 cm, định lượng 83gr</t>
  </si>
  <si>
    <t>DH24.01.054</t>
  </si>
  <si>
    <t>Cuộn vải PP dệt trắng sữa, dệt Caro, khổ 58 cm, định lượng 83gr</t>
  </si>
  <si>
    <t>Cuộn vải PP dệt trắng sữa, dệt Caro, khổ 40 cm, định lượng 85gr</t>
  </si>
  <si>
    <t>DH24.08.005</t>
  </si>
  <si>
    <t>06DE-TCA-K380-02</t>
  </si>
  <si>
    <t>DH24.12.002</t>
  </si>
  <si>
    <t>Cuộn vải PP dệt trắng sữa, dệt Caro, khổ 30,5 cm, định lượng 90gr</t>
  </si>
  <si>
    <t>Cuộn vải PP dệt trắng sữa, dệt Caro, khổ 40 cm, định lượng 90gr</t>
  </si>
  <si>
    <t>DH24.03.199</t>
  </si>
  <si>
    <t>ĐH24.04.088</t>
  </si>
  <si>
    <t>DH24.04.123</t>
  </si>
  <si>
    <t>DH24.10.008S</t>
  </si>
  <si>
    <t>06DE-TCA-K450-02</t>
  </si>
  <si>
    <t>Cuộn vải PP dệt trắng sữa, dệt Caro, khổ 60 cm, định lượng 92gr</t>
  </si>
  <si>
    <t>Cuộn vải PP dệt trắng sữa, dệt Caro, khổ 60 cm, định lượng 90gr</t>
  </si>
  <si>
    <t>ĐH25.03.087</t>
  </si>
  <si>
    <t>Cuộn vải PP dệt trắng sữa, dệt Caro, khổ 50 cm, định lượng 74gr</t>
  </si>
  <si>
    <t>DH24.12.072</t>
  </si>
  <si>
    <t>Cuộn vải PP dệt trắng sữa, dệt Xếp, khổ 60cm, định lượng 103gr</t>
  </si>
  <si>
    <t>Cuộn vải PP dệt trắng sữa, dệt Xếp, khổ 55 cm, định lượng 112-&gt; 115gr</t>
  </si>
  <si>
    <t>DH24.11.028</t>
  </si>
  <si>
    <t>Cuộn vải PP dệt trắng sữa, dệt Xếp, khổ 55 cm, định lượng 116gr</t>
  </si>
  <si>
    <t>ĐH25.01.073</t>
  </si>
  <si>
    <t>Cuộn vải PP dệt trắng sữa, dệt xếp, khổ 46 cm, định lượng 94gr</t>
  </si>
  <si>
    <t>DH24.11.005</t>
  </si>
  <si>
    <t>Cuộn vải PP dệt trắng sữa, dệt xếp, khổ 60 cm, định lượng 94gr</t>
  </si>
  <si>
    <t>Cuộn vải PP dệt trắng sữa, dệt Xếp, khổ 55 cm, định lượng 117-120gr</t>
  </si>
  <si>
    <t>DH24.12.015</t>
  </si>
  <si>
    <t>Bao PP Beras Bulog 50Kg</t>
  </si>
  <si>
    <t>DH24.08.036</t>
  </si>
  <si>
    <t>Cái</t>
  </si>
  <si>
    <t>SI</t>
  </si>
  <si>
    <t>Ghi chú</t>
  </si>
  <si>
    <t>Tên SP
(PO)</t>
  </si>
  <si>
    <t>Cuộn dệt ống K55/86g (trong caro)</t>
  </si>
  <si>
    <t>Cuộn dệt ống K50/86g (trong xếp)</t>
  </si>
  <si>
    <t>Cuộn dệt ống K50/90g (trong xếp)</t>
  </si>
  <si>
    <t xml:space="preserve">Cuộn dệt ống K38/90g (đục caro) </t>
  </si>
  <si>
    <t>Cuộn dệt ống K45/90g (đục caro)</t>
  </si>
  <si>
    <t>Số PO</t>
  </si>
  <si>
    <t>-</t>
  </si>
  <si>
    <t>Done</t>
  </si>
  <si>
    <t>Hoàn thành</t>
  </si>
  <si>
    <t>x</t>
  </si>
  <si>
    <t>Chênh lệch 
(thừa so với ĐH)</t>
  </si>
  <si>
    <t>06DE-TCA-K600-08</t>
  </si>
  <si>
    <t>06DE-TCA-K390-01</t>
  </si>
  <si>
    <t>06DE-TCA-K305-01</t>
  </si>
  <si>
    <t>DH25.03.202</t>
  </si>
  <si>
    <t>Cuộn dệt ống K60/96g (trong xếp)</t>
  </si>
  <si>
    <t>Cuộn dệt ống K60/96g (trong caro)</t>
  </si>
  <si>
    <t>Cuộn dệt ống K30.5/83g (trong caro)</t>
  </si>
  <si>
    <t>Cuộn dệt ống K46/86g (trong xếp)</t>
  </si>
  <si>
    <t>06DE-TCA-K460-03</t>
  </si>
  <si>
    <t>06DE-TCA-K580-02</t>
  </si>
  <si>
    <t>DH25.04.191</t>
  </si>
  <si>
    <t>Cuộn dệt ống K55/86g (trong xếp)</t>
  </si>
  <si>
    <t>06DE-TCA-K550-09</t>
  </si>
  <si>
    <t>DH25.01.039</t>
  </si>
  <si>
    <t>THEO DÕI ĐƠN HÀNG TOÀN CẦU</t>
  </si>
  <si>
    <t>06DE-TCA-K500-007</t>
  </si>
  <si>
    <t>Cuộn dệt ống K50/103g (đục caro)</t>
  </si>
  <si>
    <t>Cuộn dệt ống K39/83g (trong caro)</t>
  </si>
  <si>
    <t>Cuộn dệt ống K45/90g (đục caro) DH</t>
  </si>
  <si>
    <t>STT</t>
  </si>
  <si>
    <t xml:space="preserve">NGÀY ĐẶT </t>
  </si>
  <si>
    <t>SỐ LƯỢNG PP</t>
  </si>
  <si>
    <t>SỐ LƯỢNG KP</t>
  </si>
  <si>
    <t>SỐ LƯỢNG KPK</t>
  </si>
  <si>
    <t>GHI CHÚ</t>
  </si>
  <si>
    <t>THEO DÕI ĐƠN HÀNG KIÊN GIANG</t>
  </si>
  <si>
    <t>ĐẶT PP</t>
  </si>
  <si>
    <t>GIAO PP</t>
  </si>
  <si>
    <t>TỒN PP</t>
  </si>
  <si>
    <t>ĐẶT KP</t>
  </si>
  <si>
    <t>GIAO KP</t>
  </si>
  <si>
    <t>TỒN KP</t>
  </si>
  <si>
    <t>ĐẶT KPK</t>
  </si>
  <si>
    <t>GIAO KPK</t>
  </si>
  <si>
    <t>TỒN KPK</t>
  </si>
  <si>
    <t>TỔNG:</t>
  </si>
  <si>
    <t>từ ngày 28/4 trở lên là anh Dũng tracking</t>
  </si>
  <si>
    <t>DH25.01.089</t>
  </si>
  <si>
    <t>DH25.03.099</t>
  </si>
  <si>
    <t>06TR-TCA-K500-001</t>
  </si>
  <si>
    <t>Cuộn TRÁNG BÓNG K50/103g- 8x8 (caro)</t>
  </si>
  <si>
    <t>DH25.07.003</t>
  </si>
  <si>
    <t>06DE-TCA-K700-01</t>
  </si>
  <si>
    <t>Cuộn dệt ống K70/86g (trong xếp)</t>
  </si>
  <si>
    <t>DH25.02.210</t>
  </si>
  <si>
    <t>06DE-TCA-K600-10</t>
  </si>
  <si>
    <t>06DE-TCA-K520-01</t>
  </si>
  <si>
    <t>Cuộn vải PP dệt K60/86 (trong xếp)</t>
  </si>
  <si>
    <t>Cuộn vải PP dệt K52/92 (đục caro)</t>
  </si>
  <si>
    <t>DH25.07.148</t>
  </si>
  <si>
    <t>06DE-TCA-K500-06</t>
  </si>
  <si>
    <t>Giao</t>
  </si>
  <si>
    <t>06DE-TCA-K420-01</t>
  </si>
  <si>
    <t>DH25.02.134</t>
  </si>
  <si>
    <t>Cuộn dệt ống K50/90g (đục caro)</t>
  </si>
  <si>
    <t>Cuộn dệt ống K42/83g (đục caro)</t>
  </si>
  <si>
    <t>06DE-TCA-K460-01</t>
  </si>
  <si>
    <t>DH25.07.053</t>
  </si>
  <si>
    <t>giao hàng ghi nhầm 191 vì bị sót PO này, nhưng hoá đơn vẫn tính đúng theo PO này</t>
  </si>
  <si>
    <t>Dư</t>
  </si>
  <si>
    <t>Dung sai</t>
  </si>
  <si>
    <t>Cuộn dệt ống K58cm/86gr (trong caro)</t>
  </si>
  <si>
    <t>06DE-TCA-K580-05</t>
  </si>
  <si>
    <t>Cuộn dệt ống K58cm/110gr (đục xếp)</t>
  </si>
  <si>
    <t>06DE-TCA-K350-02</t>
  </si>
  <si>
    <t>Cuộn dệt ống K35/90g (đục caro)</t>
  </si>
  <si>
    <t>DH25.11.072</t>
  </si>
  <si>
    <t>06DE-TCA-K500-03</t>
  </si>
  <si>
    <t>Cuộn dệt ống K50/96g (trong xếp)</t>
  </si>
  <si>
    <t>DH25.12.142</t>
  </si>
  <si>
    <t>Cuộn vải PP dệt K50/93 (trong xếp)</t>
  </si>
  <si>
    <t>06DE-TCA-K500-003</t>
  </si>
  <si>
    <t>DH25.12.232</t>
  </si>
  <si>
    <t>30/12/2025.</t>
  </si>
  <si>
    <t xml:space="preserve">Cuộn dệt ống K58/92g (đục caro) </t>
  </si>
  <si>
    <t>06DE-TCA-K580-03</t>
  </si>
  <si>
    <t>DH24.04.088</t>
  </si>
  <si>
    <t>DH26.01.192</t>
  </si>
  <si>
    <t>06DE-TCA-K420-02</t>
  </si>
  <si>
    <t>Cuộn dệt ống K50/86g (trong caro)</t>
  </si>
  <si>
    <t>06DE-TCA-K500-004</t>
  </si>
  <si>
    <t>DH26.01.334</t>
  </si>
  <si>
    <t>DH26.02.047</t>
  </si>
  <si>
    <t>DH26.01.279</t>
  </si>
  <si>
    <t>Cuộn vải PP dệt trong suốt, dệt Xếp, khổ 60cm, định lượng 90gr</t>
  </si>
  <si>
    <t>Cuộn vải PP dệt K60/90 (trong xếp)</t>
  </si>
  <si>
    <t>06DE-TCA-K600-11</t>
  </si>
  <si>
    <t>06DE-TCA-K500-11</t>
  </si>
  <si>
    <t>DH26.02.127</t>
  </si>
  <si>
    <t>DH26.02.110</t>
  </si>
  <si>
    <t>Cuộn dệt ống K50/135g (đục caro)</t>
  </si>
  <si>
    <t>DH26.03.001</t>
  </si>
  <si>
    <t>DH26.03.053</t>
  </si>
  <si>
    <t>06DE-TCA-K460-04</t>
  </si>
  <si>
    <t>Cuộn dệt ống K46/100g (trong xếp)</t>
  </si>
  <si>
    <t>HUY</t>
  </si>
  <si>
    <t>Cuộn dệt ống K46/86g (trong caro)</t>
  </si>
  <si>
    <t>GIA CÔNG TRÁNG</t>
  </si>
  <si>
    <t>THEO DÕI ĐƠN HÀNG NAM TIẾN</t>
  </si>
  <si>
    <t>06TR-NTE-K1020-003</t>
  </si>
  <si>
    <t>06TR-NTE-K1150-003</t>
  </si>
  <si>
    <t>06DE-NTE-K1030-002</t>
  </si>
  <si>
    <t>06DE-NTE-K1120-001</t>
  </si>
  <si>
    <t>02DDA-PP16</t>
  </si>
  <si>
    <t>JUMBO TRÁNG k1020 190g/m2</t>
  </si>
  <si>
    <t>JUMBO TRÁNG k1150 185g/m2</t>
  </si>
  <si>
    <t>JUMBO DỆT k1030 165g/m2</t>
  </si>
  <si>
    <t>JUMBO DỆT k1120 165g/m2</t>
  </si>
  <si>
    <t>06DE-NTE-K980-001</t>
  </si>
  <si>
    <t>JUMBO DỆT k980 165g/m2</t>
  </si>
  <si>
    <t>06TR-NTE-K980-001</t>
  </si>
  <si>
    <t>JUMBO TRÁNG  k980 187g/m2</t>
  </si>
  <si>
    <t>06TR-NTE-K1050-04</t>
  </si>
  <si>
    <t>06TR-NTE-K1020-03</t>
  </si>
  <si>
    <t>06TR-NTE-K1150-01</t>
  </si>
  <si>
    <t>JUMBO TRÁNG k1020 185g/m2</t>
  </si>
  <si>
    <t>MÀNH PP DỆT</t>
  </si>
  <si>
    <t>06TR-NTE-K1000-02</t>
  </si>
  <si>
    <t>MÀNH PP TRÁNG K1000 85g/m2</t>
  </si>
  <si>
    <t>MÀNH PP TRÁNG k1150 85g/m2</t>
  </si>
  <si>
    <t>02DDA-PP01</t>
  </si>
  <si>
    <t>DÂY ĐAI 70mm, 45g</t>
  </si>
  <si>
    <t>MÀNH PP TRÁNG k1150 110g/m2</t>
  </si>
  <si>
    <t>06TR-NTE-K1150-02</t>
  </si>
  <si>
    <t>GIA CÔNG CẮT</t>
  </si>
  <si>
    <t>07GC-NTE-004</t>
  </si>
  <si>
    <t>07GC-NTE-005</t>
  </si>
  <si>
    <t>03/03/2026/NT/BBNT</t>
  </si>
  <si>
    <t>01/03/2026/NT/BBNT</t>
  </si>
  <si>
    <t>01/04/2026/NT/BBNT</t>
  </si>
  <si>
    <t>JUMBO TRÁNG k1050 185g/m2</t>
  </si>
  <si>
    <t>trước 6/4</t>
  </si>
  <si>
    <t>DÂY ĐAI 50mm, 40g</t>
  </si>
  <si>
    <t>DH26.03.325</t>
  </si>
  <si>
    <t>02DDA-PP12</t>
  </si>
  <si>
    <t>06TR-NTE-K950-001</t>
  </si>
  <si>
    <t>MÀNH PP TRÁNG K950 85g/m2</t>
  </si>
  <si>
    <t>02DDA-PP10</t>
  </si>
  <si>
    <t>DÂY ĐAI 70mm, 50g</t>
  </si>
  <si>
    <t>04/04/2026/NT/BBNT</t>
  </si>
  <si>
    <t>03/04/2026/NT/BBNT</t>
  </si>
  <si>
    <t>chưa tính</t>
  </si>
  <si>
    <t>Trước 29/4</t>
  </si>
  <si>
    <t>DH26.04.123</t>
  </si>
  <si>
    <t>06DE-TCA-K460-02</t>
  </si>
  <si>
    <t>DÂY ĐAI 70mm, 40g</t>
  </si>
  <si>
    <t>Cuộn dệt ống K46/94g (đục xếp)</t>
  </si>
  <si>
    <t>DH26.04.308</t>
  </si>
  <si>
    <t>Cuộn dệt ống K60/90g (trong caro)</t>
  </si>
  <si>
    <t>06DE-TCA-K600-12</t>
  </si>
  <si>
    <t>Còn lại so với ĐH</t>
  </si>
  <si>
    <t>DH26.05.026</t>
  </si>
  <si>
    <t>06DE-TCA-K460-05</t>
  </si>
  <si>
    <t>DH26.05.087</t>
  </si>
  <si>
    <t>Cuộn dệt ống K46/90-93g (trong xếp)</t>
  </si>
  <si>
    <t>vẫn trong dung sai cho phép</t>
  </si>
  <si>
    <t>06DE-TCA-K550-10</t>
  </si>
  <si>
    <t>06DE-TCA-K580-06</t>
  </si>
  <si>
    <t>DH26.06.099</t>
  </si>
  <si>
    <t>DH26.06.002</t>
  </si>
  <si>
    <t>Cuộn dệt ống K55/90g (trong caro)</t>
  </si>
  <si>
    <t>Cuộn dệt ống K58/90g (trong caro)</t>
  </si>
  <si>
    <t>done</t>
  </si>
  <si>
    <t>Cuộn dệt ống K58/103g (đục caro)</t>
  </si>
  <si>
    <t>06DE-TCA-K580-07</t>
  </si>
  <si>
    <t>06DE-TCA-K600-07</t>
  </si>
  <si>
    <t>DH26.06.189</t>
  </si>
  <si>
    <t>Column1</t>
  </si>
  <si>
    <t>Cuộn dệt ống K60/90g (đục caro)</t>
  </si>
  <si>
    <t>Còn lại</t>
  </si>
  <si>
    <t xml:space="preserve">Đã giao </t>
  </si>
  <si>
    <t>giao trước 6/4</t>
  </si>
  <si>
    <t>DH26.07.416</t>
  </si>
  <si>
    <t>DH26.08.322</t>
  </si>
  <si>
    <t>06DE-TCA-K500-02</t>
  </si>
  <si>
    <t>06DE-TCA-K600-04</t>
  </si>
  <si>
    <t>06DE-TCA-K305-03</t>
  </si>
  <si>
    <t>Cuộn dệt ống K30.5/93g (trong caro)</t>
  </si>
  <si>
    <t>DH26.08.346</t>
  </si>
  <si>
    <t>Cuộn vải PP dệt K50/90g (trong xếp)</t>
  </si>
  <si>
    <t>Cuộn vải PP dệt K50/86g (trong xếp)</t>
  </si>
  <si>
    <t>Cuộn vải PP dệt K50/90g (trong caro)</t>
  </si>
  <si>
    <t>THEO DÕI ĐƠN HÀNG GLOPACO</t>
  </si>
  <si>
    <t>Column2</t>
  </si>
  <si>
    <t>Cuộn vải PP dệt K30.5/86g (trong caro)</t>
  </si>
  <si>
    <t>06DE-GLO-K305-01</t>
  </si>
  <si>
    <t>PO26.08.0397</t>
  </si>
  <si>
    <t>PO26.09.0035</t>
  </si>
  <si>
    <t>Cuộn vải PP dệt K61/92g (Đục caro)</t>
  </si>
  <si>
    <t>06DE-GLO-K610-001</t>
  </si>
  <si>
    <t>PO26.09.0039</t>
  </si>
  <si>
    <t>PO26.09.0020</t>
  </si>
  <si>
    <t>PO26.09.0021</t>
  </si>
  <si>
    <t>06DE-GLO-K580-001</t>
  </si>
  <si>
    <t>06DE-KDU-K1020-01</t>
  </si>
  <si>
    <t>Cuộn dệt đơn Kim Đức K1020 70g/m2 2.45mm</t>
  </si>
  <si>
    <t>NT26-002 4200027488</t>
  </si>
  <si>
    <t>06DE-KDU-K950-01</t>
  </si>
  <si>
    <t>Cuộn dệt đơn Kim Đức K950 70g/m2 2.45mm</t>
  </si>
  <si>
    <t>NT26-003 4200027490</t>
  </si>
  <si>
    <t>06DE-KDU-K910-02</t>
  </si>
  <si>
    <t>Cuộn dệt đơn Kim Đức K910 80g/m2 2.4mm</t>
  </si>
  <si>
    <t>NT26-004 4200027526</t>
  </si>
  <si>
    <t>07GC-DE-KDU-K960-001</t>
  </si>
  <si>
    <t>Cuộn dệt đơn Gia Công Kim Đức K960 70g/m2 2.45mm</t>
  </si>
  <si>
    <t>NT26-005 4200042615</t>
  </si>
  <si>
    <t>07GC-DE-KDU-K1020-001</t>
  </si>
  <si>
    <t>Cuộn dệt đơn  Gia Công Kim Đức K1020 70g/m2 2.45mm</t>
  </si>
  <si>
    <t>07GC-DE-KDU-K910-001</t>
  </si>
  <si>
    <t>Cuộn dệt đơn Gia Công Kim Đức K910 80g/m2 2.45mm</t>
  </si>
  <si>
    <t>NT26-006 4200042931</t>
  </si>
  <si>
    <t>Ngày</t>
  </si>
  <si>
    <t>k950/70</t>
  </si>
  <si>
    <t>k910/80</t>
  </si>
  <si>
    <t>k960/70</t>
  </si>
  <si>
    <t>k1020/70</t>
  </si>
  <si>
    <t>DONE</t>
  </si>
  <si>
    <t>THEO DÕI ĐƠN HÀNG KIM ĐỨC</t>
  </si>
  <si>
    <t>% còn lại chưa giao so với DH</t>
  </si>
  <si>
    <t>PO26.09.0178</t>
  </si>
  <si>
    <t>% còn lại cần giao</t>
  </si>
  <si>
    <t>% còn lại chưa giao</t>
  </si>
  <si>
    <t>DH26.09.132</t>
  </si>
  <si>
    <t>DOne</t>
  </si>
  <si>
    <t>DH26.09.406</t>
  </si>
  <si>
    <t>Cuộn vải PP dệt K58/110 (đục caro)</t>
  </si>
  <si>
    <t>DH26.09.211</t>
  </si>
  <si>
    <t>NT26-005 4100042615</t>
  </si>
  <si>
    <t>PO26.10.0020</t>
  </si>
  <si>
    <t>06DE-TCA-K460-06</t>
  </si>
  <si>
    <t>06DE-TCA-K460-07</t>
  </si>
  <si>
    <t>06DE-TCA-K460-08</t>
  </si>
  <si>
    <t>Cuộn dệt ống K46/90-93g (trong caro)</t>
  </si>
  <si>
    <t>DH26.10.052</t>
  </si>
  <si>
    <t>DH26.10.011</t>
  </si>
  <si>
    <t>DH26.10.127</t>
  </si>
  <si>
    <t>Cuộn dệt ống K46/100-103g (trong caro)</t>
  </si>
  <si>
    <t>k1030/75</t>
  </si>
  <si>
    <t>07GC-DE-KDU-K1030-001</t>
  </si>
  <si>
    <t>Cuộn dệt đơn  Gia Công Kim Đức K1030 70g/m2 2.45mm</t>
  </si>
  <si>
    <t>NT 26-007</t>
  </si>
  <si>
    <t>DH26.10.172</t>
  </si>
  <si>
    <t>DH26.010.250</t>
  </si>
  <si>
    <t>Phân loại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</si>
</sst>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_);_(* \(#,##0\);_(* &quot;-&quot;??_);_(@_)"/>
    <numFmt numFmtId="165" formatCode="_(* #,##0.0_);_(* \(#,##0.0\);_(* &quot;-&quot;??_);_(@_)"/>
    <numFmt numFmtId="166" formatCode="_(* #,##0.0_);_(* \(#,##0.0\);_(* &quot;-&quot;?_);_(@_)"/>
    <numFmt numFmtId="167" formatCode="_-* #,##0.00_-;\-* #,##0.00_-;_-* &quot;-&quot;??_-;_-@_-"/>
  </numFmts>
  <fonts count="53">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rgb="FF7030A0"/>
      <name val="Calibri"/>
      <family val="2"/>
      <scheme val="minor"/>
    </font>
    <font>
      <b/>
      <sz val="11"/>
      <color rgb="FF0070C0"/>
      <name val="Calibri"/>
      <family val="2"/>
      <scheme val="minor"/>
    </font>
    <font>
      <b/>
      <sz val="11"/>
      <color rgb="FFFF0000"/>
      <name val="Calibri"/>
      <family val="2"/>
      <scheme val="minor"/>
    </font>
    <font>
      <b/>
      <sz val="11"/>
      <color rgb="FF7030A0"/>
      <name val="Calibri"/>
      <family val="2"/>
      <scheme val="minor"/>
    </font>
    <font>
      <b/>
      <sz val="11"/>
      <color theme="3" tint="-0.249977111117893"/>
      <name val="Calibri"/>
      <family val="2"/>
      <scheme val="minor"/>
    </font>
    <font>
      <sz val="11"/>
      <color rgb="FF0070C0"/>
      <name val="Calibri"/>
      <family val="2"/>
      <scheme val="minor"/>
    </font>
    <font>
      <sz val="11"/>
      <name val="Calibri"/>
      <family val="2"/>
      <scheme val="minor"/>
    </font>
    <font>
      <b/>
      <sz val="11"/>
      <color rgb="FFC00000"/>
      <name val="Calibri"/>
      <family val="2"/>
      <scheme val="minor"/>
    </font>
    <font>
      <sz val="11"/>
      <color rgb="FF002060"/>
      <name val="Calibri"/>
      <family val="2"/>
      <scheme val="minor"/>
    </font>
    <font>
      <sz val="11"/>
      <color theme="2" tint="-0.89999084444715716"/>
      <name val="Calibri"/>
      <family val="2"/>
      <scheme val="minor"/>
    </font>
    <font>
      <b/>
      <sz val="13"/>
      <color theme="1"/>
      <name val="Calibri"/>
      <family val="2"/>
      <scheme val="minor"/>
    </font>
    <font>
      <b/>
      <sz val="12"/>
      <color theme="1"/>
      <name val="Calibri"/>
      <family val="2"/>
      <scheme val="minor"/>
    </font>
    <font>
      <sz val="12"/>
      <color rgb="FF0070C0"/>
      <name val="Calibri"/>
      <family val="2"/>
      <scheme val="minor"/>
    </font>
    <font>
      <b/>
      <sz val="11"/>
      <name val="Calibri"/>
      <family val="2"/>
      <scheme val="minor"/>
    </font>
    <font>
      <sz val="8"/>
      <name val="Calibri"/>
      <family val="2"/>
      <scheme val="minor"/>
    </font>
    <font>
      <sz val="11"/>
      <color theme="6"/>
      <name val="Calibri"/>
      <family val="2"/>
      <scheme val="minor"/>
    </font>
    <font>
      <b/>
      <sz val="11"/>
      <color theme="6"/>
      <name val="Calibri"/>
      <family val="2"/>
      <scheme val="minor"/>
    </font>
    <font>
      <sz val="11"/>
      <color rgb="FFC00000"/>
      <name val="Calibri"/>
      <family val="2"/>
      <scheme val="minor"/>
    </font>
    <font>
      <sz val="11"/>
      <color theme="1" tint="0.499984740745262"/>
      <name val="Calibri"/>
      <family val="2"/>
      <scheme val="minor"/>
    </font>
    <font>
      <b/>
      <sz val="11"/>
      <color theme="1" tint="4.9989318521683403E-2"/>
      <name val="Calibri"/>
      <family val="2"/>
      <scheme val="minor"/>
    </font>
    <font>
      <b/>
      <sz val="11"/>
      <color theme="8"/>
      <name val="Calibri"/>
      <family val="2"/>
      <scheme val="minor"/>
    </font>
    <font>
      <sz val="9"/>
      <color rgb="FFFF0000"/>
      <name val="Calibri"/>
      <family val="2"/>
      <scheme val="minor"/>
    </font>
    <font>
      <b/>
      <sz val="11"/>
      <color theme="3" tint="0.39997558519241921"/>
      <name val="Calibri"/>
      <family val="2"/>
      <scheme val="minor"/>
    </font>
    <font>
      <sz val="11"/>
      <color theme="3" tint="0.39997558519241921"/>
      <name val="Calibri"/>
      <family val="2"/>
      <scheme val="minor"/>
    </font>
    <font>
      <b/>
      <sz val="24"/>
      <color theme="3" tint="-0.249977111117893"/>
      <name val="Calibri"/>
      <family val="2"/>
      <scheme val="minor"/>
    </font>
    <font>
      <b/>
      <sz val="11"/>
      <color theme="1"/>
      <name val="Times New Roman"/>
      <family val="1"/>
    </font>
    <font>
      <sz val="11"/>
      <color theme="1"/>
      <name val="Times New Roman"/>
      <family val="1"/>
    </font>
    <font>
      <b/>
      <sz val="11"/>
      <color rgb="FFFF0000"/>
      <name val="Times New Roman"/>
      <family val="1"/>
    </font>
    <font>
      <sz val="11"/>
      <name val="Times New Roman"/>
      <family val="1"/>
    </font>
    <font>
      <sz val="11"/>
      <color theme="1" tint="4.9989318521683403E-2"/>
      <name val="Calibri"/>
      <family val="2"/>
      <scheme val="minor"/>
    </font>
    <font>
      <sz val="11"/>
      <color theme="8"/>
      <name val="Calibri"/>
      <family val="2"/>
      <scheme val="minor"/>
    </font>
    <font>
      <sz val="11"/>
      <color rgb="FF9C0006"/>
      <name val="Calibri"/>
      <family val="2"/>
      <scheme val="minor"/>
    </font>
    <font>
      <sz val="12"/>
      <name val="VNI-Times"/>
    </font>
    <font>
      <sz val="11"/>
      <color theme="1"/>
      <name val="Calibri"/>
      <family val="2"/>
      <charset val="163"/>
      <scheme val="minor"/>
    </font>
    <font>
      <sz val="10"/>
      <name val="Arial"/>
      <family val="2"/>
    </font>
    <font>
      <sz val="10"/>
      <name val="VNI-Avo"/>
    </font>
    <font>
      <sz val="12"/>
      <color rgb="FF9C0006"/>
      <name val="Calibri"/>
      <family val="2"/>
      <scheme val="minor"/>
    </font>
    <font>
      <sz val="11"/>
      <color rgb="FF00B050"/>
      <name val="Calibri"/>
      <family val="2"/>
      <scheme val="minor"/>
    </font>
    <font>
      <b/>
      <sz val="11"/>
      <color rgb="FF00B050"/>
      <name val="Calibri"/>
      <family val="2"/>
      <scheme val="minor"/>
    </font>
    <font>
      <sz val="9"/>
      <color indexed="81"/>
      <name val="Tahoma"/>
      <family val="2"/>
    </font>
    <font>
      <b/>
      <sz val="9"/>
      <color indexed="81"/>
      <name val="Tahoma"/>
      <family val="2"/>
    </font>
    <font>
      <sz val="11"/>
      <color theme="3" tint="-0.249977111117893"/>
      <name val="Calibri"/>
      <family val="2"/>
      <scheme val="minor"/>
    </font>
    <font>
      <sz val="11"/>
      <color rgb="FF081B3A"/>
      <name val="Segoe UI"/>
      <family val="2"/>
    </font>
    <font>
      <sz val="11"/>
      <color theme="0" tint="-0.249977111117893"/>
      <name val="Calibri"/>
      <family val="2"/>
      <scheme val="minor"/>
    </font>
    <font>
      <b/>
      <sz val="11"/>
      <color theme="0" tint="-0.249977111117893"/>
      <name val="Calibri"/>
      <family val="2"/>
      <scheme val="minor"/>
    </font>
    <font>
      <sz val="11"/>
      <color theme="2" tint="-0.499984740745262"/>
      <name val="Calibri"/>
      <family val="2"/>
      <scheme val="minor"/>
    </font>
    <font>
      <b/>
      <sz val="11"/>
      <color theme="2" tint="-0.499984740745262"/>
      <name val="Calibri"/>
      <family val="2"/>
      <scheme val="minor"/>
    </font>
    <font>
      <sz val="11"/>
      <color theme="6" tint="-0.249977111117893"/>
      <name val="Calibri"/>
      <family val="2"/>
      <scheme val="minor"/>
    </font>
  </fonts>
  <fills count="2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FFFFCC"/>
        <bgColor indexed="64"/>
      </patternFill>
    </fill>
    <fill>
      <patternFill patternType="solid">
        <fgColor rgb="FFF7FED0"/>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FFC7CE"/>
      </patternFill>
    </fill>
    <fill>
      <patternFill patternType="solid">
        <fgColor theme="9" tint="-0.499984740745262"/>
        <bgColor indexed="64"/>
      </patternFill>
    </fill>
    <fill>
      <patternFill patternType="solid">
        <fgColor rgb="FF00B050"/>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00B0F0"/>
        <bgColor indexed="64"/>
      </patternFill>
    </fill>
    <fill>
      <patternFill patternType="solid">
        <fgColor rgb="FFFFC000"/>
        <bgColor indexed="64"/>
      </patternFill>
    </fill>
    <fill>
      <patternFill patternType="solid">
        <fgColor theme="6" tint="0.79998168889431442"/>
        <bgColor theme="6"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4">
    <xf numFmtId="0" fontId="0" fillId="0" borderId="0"/>
    <xf numFmtId="43" fontId="1" fillId="0" borderId="0" applyFont="0" applyFill="0" applyBorder="0" applyAlignment="0" applyProtection="0"/>
    <xf numFmtId="9" fontId="1" fillId="0" borderId="0" applyFont="0" applyFill="0" applyBorder="0" applyAlignment="0" applyProtection="0"/>
    <xf numFmtId="0" fontId="37" fillId="0" borderId="0"/>
    <xf numFmtId="167" fontId="37" fillId="0" borderId="0" applyFont="0" applyFill="0" applyBorder="0" applyAlignment="0" applyProtection="0"/>
    <xf numFmtId="0" fontId="38" fillId="0" borderId="0"/>
    <xf numFmtId="0" fontId="39" fillId="0" borderId="0"/>
    <xf numFmtId="0" fontId="38" fillId="0" borderId="0"/>
    <xf numFmtId="0" fontId="36" fillId="18" borderId="0" applyNumberFormat="0" applyBorder="0" applyAlignment="0" applyProtection="0"/>
    <xf numFmtId="0" fontId="40" fillId="0" borderId="0"/>
    <xf numFmtId="0" fontId="39" fillId="0" borderId="0"/>
    <xf numFmtId="0" fontId="1" fillId="0" borderId="0"/>
    <xf numFmtId="0" fontId="41" fillId="18" borderId="0" applyNumberFormat="0" applyBorder="0" applyAlignment="0" applyProtection="0"/>
    <xf numFmtId="43" fontId="38" fillId="0" borderId="0" applyFont="0" applyFill="0" applyBorder="0" applyAlignment="0" applyProtection="0"/>
  </cellStyleXfs>
  <cellXfs count="849">
    <xf numFmtId="0" fontId="0" fillId="0" borderId="0" xfId="0"/>
    <xf numFmtId="0" fontId="0" fillId="0" borderId="0" xfId="0" applyAlignment="1">
      <alignment horizontal="center" vertical="center"/>
    </xf>
    <xf numFmtId="164" fontId="0" fillId="0" borderId="0" xfId="1" applyNumberFormat="1" applyFont="1"/>
    <xf numFmtId="164" fontId="6" fillId="0" borderId="0" xfId="1" applyNumberFormat="1" applyFont="1"/>
    <xf numFmtId="0" fontId="9" fillId="3" borderId="1" xfId="0" applyFont="1" applyFill="1" applyBorder="1"/>
    <xf numFmtId="164" fontId="7" fillId="0" borderId="1" xfId="1" applyNumberFormat="1" applyFont="1" applyBorder="1"/>
    <xf numFmtId="0" fontId="7" fillId="0" borderId="1" xfId="0" applyFont="1" applyBorder="1"/>
    <xf numFmtId="0" fontId="0" fillId="4" borderId="0" xfId="0" applyFill="1"/>
    <xf numFmtId="164" fontId="0" fillId="3" borderId="1" xfId="1" applyNumberFormat="1" applyFont="1" applyFill="1" applyBorder="1"/>
    <xf numFmtId="3" fontId="0" fillId="0" borderId="0" xfId="0" applyNumberFormat="1"/>
    <xf numFmtId="0" fontId="9" fillId="4" borderId="0" xfId="0" applyFont="1" applyFill="1"/>
    <xf numFmtId="0" fontId="9" fillId="5" borderId="0" xfId="0" applyFont="1" applyFill="1"/>
    <xf numFmtId="164" fontId="0" fillId="6" borderId="1" xfId="1" applyNumberFormat="1" applyFont="1" applyFill="1" applyBorder="1"/>
    <xf numFmtId="0" fontId="9" fillId="7" borderId="0" xfId="0" applyFont="1" applyFill="1"/>
    <xf numFmtId="164" fontId="0" fillId="0" borderId="0" xfId="0" applyNumberFormat="1"/>
    <xf numFmtId="164" fontId="7" fillId="0" borderId="0" xfId="1" applyNumberFormat="1" applyFont="1" applyBorder="1"/>
    <xf numFmtId="0" fontId="3" fillId="0" borderId="0" xfId="0" applyFont="1"/>
    <xf numFmtId="164" fontId="0" fillId="0" borderId="0" xfId="1" applyNumberFormat="1" applyFont="1" applyBorder="1"/>
    <xf numFmtId="164" fontId="10" fillId="0" borderId="0" xfId="0" applyNumberFormat="1" applyFont="1"/>
    <xf numFmtId="43" fontId="0" fillId="0" borderId="0" xfId="1" applyFont="1" applyBorder="1"/>
    <xf numFmtId="164" fontId="3" fillId="0" borderId="0" xfId="0" applyNumberFormat="1" applyFont="1"/>
    <xf numFmtId="0" fontId="2" fillId="8" borderId="3" xfId="0" applyFont="1" applyFill="1" applyBorder="1" applyAlignment="1">
      <alignment horizontal="center" vertical="center"/>
    </xf>
    <xf numFmtId="0" fontId="4" fillId="0" borderId="0" xfId="0" applyFont="1" applyAlignment="1">
      <alignment horizontal="center" vertical="center"/>
    </xf>
    <xf numFmtId="0" fontId="7" fillId="0" borderId="0" xfId="0" applyFont="1" applyAlignment="1">
      <alignment horizontal="center" vertical="center"/>
    </xf>
    <xf numFmtId="164" fontId="7" fillId="0" borderId="0" xfId="1" applyNumberFormat="1" applyFont="1" applyFill="1" applyBorder="1" applyAlignment="1">
      <alignment vertical="center"/>
    </xf>
    <xf numFmtId="0" fontId="7" fillId="0" borderId="0" xfId="0" applyFont="1" applyAlignment="1">
      <alignment vertical="center"/>
    </xf>
    <xf numFmtId="164" fontId="11" fillId="0" borderId="0" xfId="1" applyNumberFormat="1" applyFont="1" applyFill="1" applyBorder="1" applyAlignment="1">
      <alignment vertical="center"/>
    </xf>
    <xf numFmtId="0" fontId="11" fillId="0" borderId="0" xfId="0" applyFont="1" applyAlignment="1">
      <alignment vertical="center"/>
    </xf>
    <xf numFmtId="0" fontId="12" fillId="0" borderId="0" xfId="0" applyFont="1" applyAlignment="1">
      <alignment vertical="center"/>
    </xf>
    <xf numFmtId="164" fontId="12" fillId="0" borderId="0" xfId="1" applyNumberFormat="1" applyFont="1" applyFill="1" applyBorder="1" applyAlignment="1">
      <alignment vertical="center"/>
    </xf>
    <xf numFmtId="0" fontId="0" fillId="0" borderId="0" xfId="0" applyAlignment="1">
      <alignment vertical="center"/>
    </xf>
    <xf numFmtId="164" fontId="0" fillId="0" borderId="0" xfId="1" applyNumberFormat="1" applyFont="1" applyFill="1" applyBorder="1" applyAlignment="1">
      <alignment vertical="center"/>
    </xf>
    <xf numFmtId="164" fontId="10" fillId="0" borderId="0" xfId="1" applyNumberFormat="1" applyFont="1" applyFill="1" applyBorder="1" applyAlignment="1">
      <alignment vertical="center"/>
    </xf>
    <xf numFmtId="164" fontId="10" fillId="0" borderId="0" xfId="1" quotePrefix="1" applyNumberFormat="1" applyFont="1" applyFill="1" applyBorder="1" applyAlignment="1">
      <alignment vertical="center"/>
    </xf>
    <xf numFmtId="0" fontId="13" fillId="0" borderId="0" xfId="0" applyFont="1" applyAlignment="1">
      <alignment vertical="center"/>
    </xf>
    <xf numFmtId="164" fontId="13" fillId="0" borderId="0" xfId="1" applyNumberFormat="1" applyFont="1" applyFill="1" applyBorder="1" applyAlignment="1">
      <alignment vertical="center"/>
    </xf>
    <xf numFmtId="164" fontId="12" fillId="0" borderId="0" xfId="0" applyNumberFormat="1" applyFont="1" applyAlignment="1">
      <alignment vertical="center"/>
    </xf>
    <xf numFmtId="164" fontId="10" fillId="0" borderId="0" xfId="0" applyNumberFormat="1" applyFont="1" applyAlignment="1">
      <alignment vertical="center"/>
    </xf>
    <xf numFmtId="164" fontId="7" fillId="0" borderId="0" xfId="0" applyNumberFormat="1" applyFont="1" applyAlignment="1">
      <alignment vertical="center"/>
    </xf>
    <xf numFmtId="165" fontId="7" fillId="0" borderId="0" xfId="1" applyNumberFormat="1" applyFont="1" applyFill="1" applyBorder="1" applyAlignment="1">
      <alignment vertical="center"/>
    </xf>
    <xf numFmtId="165" fontId="11" fillId="0" borderId="0" xfId="1" applyNumberFormat="1" applyFont="1" applyFill="1" applyBorder="1" applyAlignment="1">
      <alignment vertical="center"/>
    </xf>
    <xf numFmtId="164" fontId="1" fillId="0" borderId="0" xfId="1" applyNumberFormat="1" applyFont="1" applyFill="1" applyBorder="1" applyAlignment="1">
      <alignment vertical="center"/>
    </xf>
    <xf numFmtId="164" fontId="0" fillId="0" borderId="0" xfId="0" applyNumberFormat="1" applyAlignment="1">
      <alignment vertical="center"/>
    </xf>
    <xf numFmtId="164" fontId="3" fillId="0" borderId="0" xfId="0" applyNumberFormat="1" applyFont="1" applyAlignment="1">
      <alignment vertical="center"/>
    </xf>
    <xf numFmtId="165" fontId="0" fillId="0" borderId="0" xfId="1" applyNumberFormat="1" applyFont="1" applyFill="1" applyBorder="1" applyAlignment="1">
      <alignment vertical="center"/>
    </xf>
    <xf numFmtId="164" fontId="6" fillId="0" borderId="0" xfId="1" applyNumberFormat="1" applyFont="1" applyFill="1" applyBorder="1" applyAlignment="1">
      <alignment vertical="center"/>
    </xf>
    <xf numFmtId="0" fontId="0" fillId="0" borderId="0" xfId="0" applyAlignment="1">
      <alignment horizontal="left" vertical="center" indent="4"/>
    </xf>
    <xf numFmtId="0" fontId="7" fillId="0" borderId="0" xfId="0" applyFont="1" applyAlignment="1">
      <alignment horizontal="left" vertical="center" indent="4"/>
    </xf>
    <xf numFmtId="0" fontId="4" fillId="0" borderId="0" xfId="0" applyFont="1" applyAlignment="1">
      <alignment horizontal="left" vertical="center" indent="4"/>
    </xf>
    <xf numFmtId="0" fontId="11" fillId="0" borderId="0" xfId="0" applyFont="1" applyAlignment="1">
      <alignment horizontal="left" vertical="center" indent="4"/>
    </xf>
    <xf numFmtId="164" fontId="0" fillId="0" borderId="0" xfId="1" applyNumberFormat="1" applyFont="1" applyFill="1" applyBorder="1" applyAlignment="1">
      <alignment horizontal="left" vertical="center" indent="4"/>
    </xf>
    <xf numFmtId="0" fontId="0" fillId="0" borderId="0" xfId="0" applyAlignment="1">
      <alignment horizontal="left" indent="4"/>
    </xf>
    <xf numFmtId="0" fontId="6" fillId="0" borderId="0" xfId="0" applyFont="1" applyAlignment="1">
      <alignment horizontal="center" vertical="center"/>
    </xf>
    <xf numFmtId="164" fontId="3" fillId="0" borderId="0" xfId="1" applyNumberFormat="1" applyFont="1" applyAlignment="1">
      <alignment vertical="center"/>
    </xf>
    <xf numFmtId="164" fontId="0" fillId="0" borderId="0" xfId="1" applyNumberFormat="1" applyFont="1" applyAlignment="1">
      <alignment vertical="center"/>
    </xf>
    <xf numFmtId="164" fontId="10" fillId="0" borderId="0" xfId="1" applyNumberFormat="1" applyFont="1" applyAlignment="1">
      <alignment vertical="center"/>
    </xf>
    <xf numFmtId="0" fontId="18" fillId="0" borderId="0" xfId="0" applyFont="1" applyAlignment="1">
      <alignment vertical="center"/>
    </xf>
    <xf numFmtId="0" fontId="20" fillId="0" borderId="0" xfId="0" applyFont="1" applyAlignment="1">
      <alignment horizontal="center" vertical="center"/>
    </xf>
    <xf numFmtId="0" fontId="21" fillId="0" borderId="0" xfId="0" applyFont="1" applyAlignment="1">
      <alignment horizontal="center" vertical="center"/>
    </xf>
    <xf numFmtId="0" fontId="20" fillId="0" borderId="0" xfId="0" applyFont="1" applyAlignment="1">
      <alignment horizontal="center"/>
    </xf>
    <xf numFmtId="0" fontId="4" fillId="13" borderId="3" xfId="0" applyFont="1" applyFill="1" applyBorder="1" applyAlignment="1">
      <alignment horizontal="center" vertical="center"/>
    </xf>
    <xf numFmtId="0" fontId="9" fillId="12" borderId="2" xfId="0" applyFont="1" applyFill="1" applyBorder="1" applyAlignment="1">
      <alignment horizontal="center" vertical="center"/>
    </xf>
    <xf numFmtId="14" fontId="18" fillId="12" borderId="2" xfId="0" applyNumberFormat="1" applyFont="1" applyFill="1" applyBorder="1" applyAlignment="1">
      <alignment horizontal="left" vertical="center" indent="4"/>
    </xf>
    <xf numFmtId="14" fontId="9" fillId="12" borderId="2" xfId="0" applyNumberFormat="1" applyFont="1" applyFill="1" applyBorder="1" applyAlignment="1">
      <alignment horizontal="left" vertical="center"/>
    </xf>
    <xf numFmtId="0" fontId="9" fillId="12" borderId="2" xfId="0" applyFont="1" applyFill="1" applyBorder="1" applyAlignment="1">
      <alignment vertical="center"/>
    </xf>
    <xf numFmtId="0" fontId="0" fillId="12" borderId="2" xfId="0" applyFill="1" applyBorder="1" applyAlignment="1">
      <alignment vertical="center"/>
    </xf>
    <xf numFmtId="164" fontId="10" fillId="12" borderId="2" xfId="1" applyNumberFormat="1" applyFont="1" applyFill="1" applyBorder="1" applyAlignment="1">
      <alignment vertical="center"/>
    </xf>
    <xf numFmtId="0" fontId="4" fillId="12" borderId="2" xfId="0" applyFont="1" applyFill="1" applyBorder="1" applyAlignment="1">
      <alignment horizontal="center" vertical="center"/>
    </xf>
    <xf numFmtId="164" fontId="0" fillId="12" borderId="2" xfId="1" applyNumberFormat="1" applyFont="1" applyFill="1" applyBorder="1" applyAlignment="1">
      <alignment vertical="center"/>
    </xf>
    <xf numFmtId="0" fontId="7" fillId="12" borderId="2" xfId="0" applyFont="1" applyFill="1" applyBorder="1" applyAlignment="1">
      <alignment vertical="center"/>
    </xf>
    <xf numFmtId="0" fontId="13" fillId="12" borderId="2" xfId="0" applyFont="1" applyFill="1" applyBorder="1" applyAlignment="1">
      <alignment vertical="center"/>
    </xf>
    <xf numFmtId="164" fontId="13" fillId="12" borderId="2" xfId="1" applyNumberFormat="1" applyFont="1" applyFill="1" applyBorder="1" applyAlignment="1">
      <alignment vertical="center"/>
    </xf>
    <xf numFmtId="0" fontId="18" fillId="12" borderId="2" xfId="0" applyFont="1" applyFill="1" applyBorder="1" applyAlignment="1">
      <alignment horizontal="center" vertical="center"/>
    </xf>
    <xf numFmtId="14" fontId="18" fillId="10" borderId="2" xfId="0" applyNumberFormat="1" applyFont="1" applyFill="1" applyBorder="1" applyAlignment="1">
      <alignment horizontal="center" vertical="center"/>
    </xf>
    <xf numFmtId="14" fontId="18" fillId="10" borderId="2" xfId="0" applyNumberFormat="1" applyFont="1" applyFill="1" applyBorder="1" applyAlignment="1">
      <alignment horizontal="left" vertical="center" indent="4"/>
    </xf>
    <xf numFmtId="0" fontId="0" fillId="10" borderId="2" xfId="0" applyFill="1" applyBorder="1" applyAlignment="1">
      <alignment vertical="center"/>
    </xf>
    <xf numFmtId="164" fontId="0" fillId="10" borderId="2" xfId="1" applyNumberFormat="1" applyFont="1" applyFill="1" applyBorder="1" applyAlignment="1">
      <alignment vertical="center"/>
    </xf>
    <xf numFmtId="164" fontId="10" fillId="10" borderId="2" xfId="1" applyNumberFormat="1" applyFont="1" applyFill="1" applyBorder="1" applyAlignment="1">
      <alignment vertical="center"/>
    </xf>
    <xf numFmtId="164" fontId="10" fillId="10" borderId="2" xfId="0" applyNumberFormat="1" applyFont="1" applyFill="1" applyBorder="1" applyAlignment="1">
      <alignment vertical="center"/>
    </xf>
    <xf numFmtId="0" fontId="9" fillId="10" borderId="2" xfId="0" applyFont="1" applyFill="1" applyBorder="1" applyAlignment="1">
      <alignment vertical="center"/>
    </xf>
    <xf numFmtId="0" fontId="7" fillId="10" borderId="2" xfId="0" applyFont="1" applyFill="1" applyBorder="1" applyAlignment="1">
      <alignment vertical="center"/>
    </xf>
    <xf numFmtId="0" fontId="18" fillId="11" borderId="2" xfId="0" applyFont="1" applyFill="1" applyBorder="1" applyAlignment="1">
      <alignment horizontal="center" vertical="center"/>
    </xf>
    <xf numFmtId="14" fontId="18" fillId="11" borderId="2" xfId="0" applyNumberFormat="1" applyFont="1" applyFill="1" applyBorder="1" applyAlignment="1">
      <alignment horizontal="left" vertical="center" indent="4"/>
    </xf>
    <xf numFmtId="0" fontId="0" fillId="11" borderId="2" xfId="0" applyFill="1" applyBorder="1" applyAlignment="1">
      <alignment vertical="center"/>
    </xf>
    <xf numFmtId="164" fontId="0" fillId="11" borderId="2" xfId="1" applyNumberFormat="1" applyFont="1" applyFill="1" applyBorder="1" applyAlignment="1">
      <alignment vertical="center"/>
    </xf>
    <xf numFmtId="164" fontId="10" fillId="11" borderId="2" xfId="1" applyNumberFormat="1" applyFont="1" applyFill="1" applyBorder="1" applyAlignment="1">
      <alignment vertical="center"/>
    </xf>
    <xf numFmtId="0" fontId="9" fillId="11" borderId="2" xfId="0" applyFont="1" applyFill="1" applyBorder="1" applyAlignment="1">
      <alignment vertical="center"/>
    </xf>
    <xf numFmtId="164" fontId="10" fillId="11" borderId="2" xfId="0" applyNumberFormat="1" applyFont="1" applyFill="1" applyBorder="1" applyAlignment="1">
      <alignment vertical="center"/>
    </xf>
    <xf numFmtId="14" fontId="18" fillId="11" borderId="2" xfId="1" applyNumberFormat="1" applyFont="1" applyFill="1" applyBorder="1" applyAlignment="1">
      <alignment horizontal="left" vertical="center" indent="4"/>
    </xf>
    <xf numFmtId="0" fontId="4" fillId="11" borderId="2" xfId="0" applyFont="1" applyFill="1" applyBorder="1" applyAlignment="1">
      <alignment horizontal="center" vertical="center"/>
    </xf>
    <xf numFmtId="0" fontId="4" fillId="9" borderId="2" xfId="0" applyFont="1" applyFill="1" applyBorder="1" applyAlignment="1">
      <alignment horizontal="center" vertical="center"/>
    </xf>
    <xf numFmtId="14" fontId="18" fillId="9" borderId="2" xfId="0" applyNumberFormat="1" applyFont="1" applyFill="1" applyBorder="1" applyAlignment="1">
      <alignment horizontal="left" vertical="center" indent="4"/>
    </xf>
    <xf numFmtId="0" fontId="0" fillId="9" borderId="2" xfId="0" applyFill="1" applyBorder="1" applyAlignment="1">
      <alignment vertical="center"/>
    </xf>
    <xf numFmtId="165" fontId="0" fillId="9" borderId="2" xfId="1" applyNumberFormat="1" applyFont="1" applyFill="1" applyBorder="1" applyAlignment="1">
      <alignment vertical="center"/>
    </xf>
    <xf numFmtId="164" fontId="10" fillId="9" borderId="2" xfId="1" applyNumberFormat="1" applyFont="1" applyFill="1" applyBorder="1" applyAlignment="1">
      <alignment vertical="center"/>
    </xf>
    <xf numFmtId="14" fontId="18" fillId="9" borderId="2" xfId="1" applyNumberFormat="1" applyFont="1" applyFill="1" applyBorder="1" applyAlignment="1">
      <alignment horizontal="left" vertical="center" indent="4"/>
    </xf>
    <xf numFmtId="164" fontId="0" fillId="9" borderId="2" xfId="1" applyNumberFormat="1" applyFont="1" applyFill="1" applyBorder="1" applyAlignment="1">
      <alignment vertical="center"/>
    </xf>
    <xf numFmtId="0" fontId="14" fillId="9" borderId="2" xfId="0" applyFont="1" applyFill="1" applyBorder="1" applyAlignment="1">
      <alignment vertical="center"/>
    </xf>
    <xf numFmtId="164" fontId="14" fillId="9" borderId="2" xfId="1" applyNumberFormat="1" applyFont="1" applyFill="1" applyBorder="1" applyAlignment="1">
      <alignment vertical="center"/>
    </xf>
    <xf numFmtId="0" fontId="7" fillId="9" borderId="2" xfId="0" applyFont="1" applyFill="1" applyBorder="1" applyAlignment="1">
      <alignment vertical="center"/>
    </xf>
    <xf numFmtId="164" fontId="10" fillId="9" borderId="2" xfId="0" applyNumberFormat="1" applyFont="1" applyFill="1" applyBorder="1" applyAlignment="1">
      <alignment vertical="center"/>
    </xf>
    <xf numFmtId="0" fontId="4" fillId="0" borderId="2" xfId="0" applyFont="1" applyBorder="1" applyAlignment="1">
      <alignment horizontal="center" vertical="center"/>
    </xf>
    <xf numFmtId="14" fontId="15" fillId="0" borderId="2" xfId="0" applyNumberFormat="1" applyFont="1" applyBorder="1" applyAlignment="1">
      <alignment horizontal="left" vertical="center" indent="4"/>
    </xf>
    <xf numFmtId="0" fontId="16" fillId="0" borderId="2" xfId="0" applyFont="1" applyBorder="1" applyAlignment="1">
      <alignment vertical="center"/>
    </xf>
    <xf numFmtId="164" fontId="0" fillId="0" borderId="2" xfId="1" applyNumberFormat="1" applyFont="1" applyFill="1" applyBorder="1" applyAlignment="1">
      <alignment vertical="center"/>
    </xf>
    <xf numFmtId="164" fontId="10" fillId="0" borderId="2" xfId="1" applyNumberFormat="1" applyFont="1" applyFill="1" applyBorder="1" applyAlignment="1">
      <alignment vertical="center"/>
    </xf>
    <xf numFmtId="0" fontId="22" fillId="0" borderId="0" xfId="0" applyFont="1" applyAlignment="1">
      <alignment horizontal="left" vertical="center" indent="4"/>
    </xf>
    <xf numFmtId="0" fontId="22" fillId="0" borderId="0" xfId="0" applyFont="1"/>
    <xf numFmtId="14" fontId="11" fillId="0" borderId="0" xfId="0" applyNumberFormat="1" applyFont="1" applyAlignment="1">
      <alignment horizontal="center" vertical="center"/>
    </xf>
    <xf numFmtId="0" fontId="0" fillId="0" borderId="0" xfId="0" applyAlignment="1">
      <alignment horizontal="right" vertical="center"/>
    </xf>
    <xf numFmtId="0" fontId="20" fillId="0" borderId="0" xfId="0" applyFont="1" applyAlignment="1">
      <alignment horizontal="right" vertical="center"/>
    </xf>
    <xf numFmtId="14" fontId="7" fillId="0" borderId="0" xfId="0" applyNumberFormat="1" applyFont="1" applyAlignment="1">
      <alignment horizontal="center" vertical="center"/>
    </xf>
    <xf numFmtId="0" fontId="9" fillId="0" borderId="0" xfId="0" applyFont="1" applyAlignment="1">
      <alignment vertical="center"/>
    </xf>
    <xf numFmtId="14" fontId="12" fillId="0" borderId="0" xfId="0" applyNumberFormat="1" applyFont="1" applyAlignment="1">
      <alignment horizontal="center" vertical="center"/>
    </xf>
    <xf numFmtId="14" fontId="0" fillId="0" borderId="0" xfId="0" applyNumberFormat="1" applyAlignment="1">
      <alignment horizontal="center"/>
    </xf>
    <xf numFmtId="14" fontId="0" fillId="12" borderId="2" xfId="0" applyNumberFormat="1" applyFill="1" applyBorder="1" applyAlignment="1">
      <alignment horizontal="center" vertical="center"/>
    </xf>
    <xf numFmtId="14" fontId="0" fillId="0" borderId="0" xfId="0" applyNumberFormat="1" applyAlignment="1">
      <alignment horizontal="center" vertical="center"/>
    </xf>
    <xf numFmtId="14" fontId="0" fillId="10" borderId="2" xfId="0" applyNumberFormat="1" applyFill="1" applyBorder="1" applyAlignment="1">
      <alignment horizontal="center" vertical="center"/>
    </xf>
    <xf numFmtId="14" fontId="0" fillId="11" borderId="2" xfId="0" applyNumberFormat="1" applyFill="1" applyBorder="1" applyAlignment="1">
      <alignment horizontal="center" vertical="center"/>
    </xf>
    <xf numFmtId="0" fontId="0" fillId="11" borderId="2" xfId="0" applyFill="1" applyBorder="1" applyAlignment="1">
      <alignment horizontal="center" vertical="center"/>
    </xf>
    <xf numFmtId="14" fontId="18" fillId="11" borderId="2" xfId="1" applyNumberFormat="1" applyFont="1" applyFill="1" applyBorder="1" applyAlignment="1">
      <alignment horizontal="center" vertical="center"/>
    </xf>
    <xf numFmtId="14" fontId="0" fillId="9" borderId="2" xfId="0" applyNumberFormat="1" applyFill="1" applyBorder="1" applyAlignment="1">
      <alignment horizontal="center" vertical="center"/>
    </xf>
    <xf numFmtId="14" fontId="0" fillId="0" borderId="2" xfId="0" applyNumberFormat="1" applyBorder="1" applyAlignment="1">
      <alignment horizontal="center" vertical="center"/>
    </xf>
    <xf numFmtId="14" fontId="11" fillId="0" borderId="0" xfId="0" applyNumberFormat="1" applyFont="1" applyAlignment="1">
      <alignment horizontal="center"/>
    </xf>
    <xf numFmtId="14" fontId="18" fillId="12" borderId="2" xfId="0" applyNumberFormat="1" applyFont="1" applyFill="1" applyBorder="1" applyAlignment="1">
      <alignment horizontal="left" vertical="center"/>
    </xf>
    <xf numFmtId="0" fontId="18" fillId="12" borderId="2" xfId="0" applyFont="1" applyFill="1" applyBorder="1" applyAlignment="1">
      <alignment vertical="center"/>
    </xf>
    <xf numFmtId="0" fontId="11" fillId="12" borderId="2" xfId="0" applyFont="1" applyFill="1" applyBorder="1" applyAlignment="1">
      <alignment vertical="center"/>
    </xf>
    <xf numFmtId="164" fontId="12" fillId="0" borderId="0" xfId="1" applyNumberFormat="1" applyFont="1" applyFill="1" applyBorder="1" applyAlignment="1">
      <alignment horizontal="center" vertical="center"/>
    </xf>
    <xf numFmtId="164" fontId="6" fillId="0" borderId="0" xfId="1" applyNumberFormat="1" applyFont="1" applyAlignment="1">
      <alignment horizontal="center"/>
    </xf>
    <xf numFmtId="14" fontId="9" fillId="12" borderId="2" xfId="0" applyNumberFormat="1" applyFont="1" applyFill="1" applyBorder="1" applyAlignment="1">
      <alignment horizontal="center" vertical="center"/>
    </xf>
    <xf numFmtId="164" fontId="7" fillId="0" borderId="0" xfId="1" applyNumberFormat="1" applyFont="1" applyFill="1" applyBorder="1" applyAlignment="1">
      <alignment horizontal="center" vertical="center"/>
    </xf>
    <xf numFmtId="164" fontId="11" fillId="0" borderId="0" xfId="1" applyNumberFormat="1" applyFont="1" applyFill="1" applyBorder="1" applyAlignment="1">
      <alignment horizontal="center" vertical="center"/>
    </xf>
    <xf numFmtId="164" fontId="10" fillId="12" borderId="2" xfId="1" applyNumberFormat="1" applyFont="1" applyFill="1" applyBorder="1" applyAlignment="1">
      <alignment horizontal="center" vertical="center"/>
    </xf>
    <xf numFmtId="164" fontId="10" fillId="0" borderId="0" xfId="1" applyNumberFormat="1" applyFont="1" applyFill="1" applyBorder="1" applyAlignment="1">
      <alignment horizontal="center" vertical="center"/>
    </xf>
    <xf numFmtId="164" fontId="13" fillId="0" borderId="0" xfId="1" applyNumberFormat="1" applyFont="1" applyFill="1" applyBorder="1" applyAlignment="1">
      <alignment horizontal="center" vertical="center"/>
    </xf>
    <xf numFmtId="164" fontId="13" fillId="12" borderId="2" xfId="1" applyNumberFormat="1" applyFont="1" applyFill="1" applyBorder="1" applyAlignment="1">
      <alignment horizontal="center" vertical="center"/>
    </xf>
    <xf numFmtId="164" fontId="10" fillId="10" borderId="2" xfId="1" applyNumberFormat="1" applyFont="1" applyFill="1" applyBorder="1" applyAlignment="1">
      <alignment horizontal="center" vertical="center"/>
    </xf>
    <xf numFmtId="164" fontId="10" fillId="10" borderId="2" xfId="0" applyNumberFormat="1" applyFont="1" applyFill="1" applyBorder="1" applyAlignment="1">
      <alignment horizontal="center" vertical="center"/>
    </xf>
    <xf numFmtId="164" fontId="12" fillId="0" borderId="0" xfId="0" applyNumberFormat="1" applyFont="1" applyAlignment="1">
      <alignment horizontal="center" vertical="center"/>
    </xf>
    <xf numFmtId="164" fontId="10" fillId="0" borderId="0" xfId="0" applyNumberFormat="1" applyFont="1" applyAlignment="1">
      <alignment horizontal="center" vertical="center"/>
    </xf>
    <xf numFmtId="164" fontId="0" fillId="0" borderId="0" xfId="0" applyNumberFormat="1" applyAlignment="1">
      <alignment horizontal="center" vertical="center"/>
    </xf>
    <xf numFmtId="164" fontId="10" fillId="11" borderId="2" xfId="1" applyNumberFormat="1" applyFont="1" applyFill="1" applyBorder="1" applyAlignment="1">
      <alignment horizontal="center" vertical="center"/>
    </xf>
    <xf numFmtId="164" fontId="10" fillId="11" borderId="2" xfId="0" applyNumberFormat="1" applyFont="1" applyFill="1" applyBorder="1" applyAlignment="1">
      <alignment horizontal="center" vertical="center"/>
    </xf>
    <xf numFmtId="164" fontId="10" fillId="9" borderId="2" xfId="1" applyNumberFormat="1" applyFont="1" applyFill="1" applyBorder="1" applyAlignment="1">
      <alignment horizontal="center" vertical="center"/>
    </xf>
    <xf numFmtId="164" fontId="14" fillId="9" borderId="2" xfId="1" applyNumberFormat="1" applyFont="1" applyFill="1" applyBorder="1" applyAlignment="1">
      <alignment horizontal="center" vertical="center"/>
    </xf>
    <xf numFmtId="164" fontId="10" fillId="9" borderId="2" xfId="0" applyNumberFormat="1" applyFont="1" applyFill="1" applyBorder="1" applyAlignment="1">
      <alignment horizontal="center" vertical="center"/>
    </xf>
    <xf numFmtId="164" fontId="10" fillId="0" borderId="2" xfId="1" applyNumberFormat="1" applyFont="1" applyFill="1" applyBorder="1" applyAlignment="1">
      <alignment horizontal="center" vertical="center"/>
    </xf>
    <xf numFmtId="164" fontId="10" fillId="0" borderId="0" xfId="0" applyNumberFormat="1" applyFont="1" applyAlignment="1">
      <alignment horizontal="center"/>
    </xf>
    <xf numFmtId="14" fontId="23" fillId="0" borderId="0" xfId="0" applyNumberFormat="1" applyFont="1" applyAlignment="1">
      <alignment horizontal="center" vertical="center"/>
    </xf>
    <xf numFmtId="164" fontId="22" fillId="0" borderId="0" xfId="1" applyNumberFormat="1" applyFont="1" applyFill="1" applyBorder="1" applyAlignment="1">
      <alignment vertical="center"/>
    </xf>
    <xf numFmtId="164" fontId="22" fillId="0" borderId="0" xfId="0" applyNumberFormat="1" applyFont="1" applyAlignment="1">
      <alignment vertical="center"/>
    </xf>
    <xf numFmtId="0" fontId="24" fillId="12" borderId="2" xfId="0" applyFont="1" applyFill="1" applyBorder="1" applyAlignment="1">
      <alignment horizontal="center" vertical="center"/>
    </xf>
    <xf numFmtId="0" fontId="0" fillId="0" borderId="0" xfId="0" applyAlignment="1">
      <alignment horizontal="left" vertical="center" indent="5"/>
    </xf>
    <xf numFmtId="0" fontId="11" fillId="0" borderId="0" xfId="0" applyFont="1" applyAlignment="1">
      <alignment horizontal="left" vertical="center" indent="5"/>
    </xf>
    <xf numFmtId="14" fontId="25" fillId="0" borderId="0" xfId="0" applyNumberFormat="1" applyFont="1" applyAlignment="1">
      <alignment horizontal="center" vertical="center"/>
    </xf>
    <xf numFmtId="0" fontId="25" fillId="0" borderId="0" xfId="0" applyFont="1" applyAlignment="1">
      <alignment vertical="center"/>
    </xf>
    <xf numFmtId="164" fontId="25" fillId="0" borderId="0" xfId="1" applyNumberFormat="1" applyFont="1" applyFill="1" applyBorder="1" applyAlignment="1">
      <alignment vertical="center"/>
    </xf>
    <xf numFmtId="164" fontId="25" fillId="0" borderId="0" xfId="0" applyNumberFormat="1" applyFont="1" applyAlignment="1">
      <alignment vertical="center"/>
    </xf>
    <xf numFmtId="164" fontId="26" fillId="0" borderId="0" xfId="0" applyNumberFormat="1" applyFont="1" applyAlignment="1">
      <alignment horizontal="left" vertical="top" wrapText="1"/>
    </xf>
    <xf numFmtId="14" fontId="7" fillId="2" borderId="0" xfId="0" applyNumberFormat="1" applyFont="1" applyFill="1" applyAlignment="1">
      <alignment horizontal="center" vertical="center"/>
    </xf>
    <xf numFmtId="0" fontId="7" fillId="2" borderId="0" xfId="0" applyFont="1" applyFill="1" applyAlignment="1">
      <alignment vertical="center"/>
    </xf>
    <xf numFmtId="164" fontId="7" fillId="2" borderId="0" xfId="1" applyNumberFormat="1" applyFont="1" applyFill="1" applyBorder="1" applyAlignment="1">
      <alignment vertical="center"/>
    </xf>
    <xf numFmtId="164" fontId="7" fillId="2" borderId="0" xfId="0" applyNumberFormat="1" applyFont="1" applyFill="1" applyAlignment="1">
      <alignment vertical="center"/>
    </xf>
    <xf numFmtId="164" fontId="7" fillId="0" borderId="3" xfId="1" applyNumberFormat="1" applyFont="1" applyFill="1" applyBorder="1" applyAlignment="1">
      <alignment vertical="center"/>
    </xf>
    <xf numFmtId="164" fontId="11" fillId="0" borderId="3" xfId="1" applyNumberFormat="1" applyFont="1" applyFill="1" applyBorder="1" applyAlignment="1">
      <alignment vertical="center"/>
    </xf>
    <xf numFmtId="164" fontId="12" fillId="0" borderId="3" xfId="1" applyNumberFormat="1" applyFont="1" applyFill="1" applyBorder="1" applyAlignment="1">
      <alignment vertical="center"/>
    </xf>
    <xf numFmtId="164" fontId="0" fillId="0" borderId="3" xfId="1" applyNumberFormat="1" applyFont="1" applyFill="1" applyBorder="1" applyAlignment="1">
      <alignment vertical="center"/>
    </xf>
    <xf numFmtId="164" fontId="13" fillId="0" borderId="3" xfId="1" applyNumberFormat="1" applyFont="1" applyFill="1" applyBorder="1" applyAlignment="1">
      <alignment vertical="center"/>
    </xf>
    <xf numFmtId="164" fontId="25" fillId="0" borderId="3" xfId="1" applyNumberFormat="1" applyFont="1" applyFill="1" applyBorder="1" applyAlignment="1">
      <alignment vertical="center"/>
    </xf>
    <xf numFmtId="0" fontId="0" fillId="0" borderId="3" xfId="0" applyBorder="1" applyAlignment="1">
      <alignment vertical="center"/>
    </xf>
    <xf numFmtId="0" fontId="7" fillId="0" borderId="3" xfId="0" applyFont="1" applyBorder="1" applyAlignment="1">
      <alignment vertical="center"/>
    </xf>
    <xf numFmtId="165" fontId="11" fillId="0" borderId="3" xfId="1" applyNumberFormat="1" applyFont="1" applyFill="1" applyBorder="1" applyAlignment="1">
      <alignment vertical="center"/>
    </xf>
    <xf numFmtId="164" fontId="22" fillId="0" borderId="3" xfId="1" applyNumberFormat="1" applyFont="1" applyFill="1" applyBorder="1" applyAlignment="1">
      <alignment vertical="center"/>
    </xf>
    <xf numFmtId="165" fontId="7" fillId="0" borderId="3" xfId="1" applyNumberFormat="1" applyFont="1" applyFill="1" applyBorder="1" applyAlignment="1">
      <alignment vertical="center"/>
    </xf>
    <xf numFmtId="165" fontId="0" fillId="0" borderId="3" xfId="1" applyNumberFormat="1" applyFont="1" applyFill="1" applyBorder="1" applyAlignment="1">
      <alignment vertical="center"/>
    </xf>
    <xf numFmtId="164" fontId="7" fillId="0" borderId="5" xfId="1" applyNumberFormat="1" applyFont="1" applyFill="1" applyBorder="1" applyAlignment="1">
      <alignment vertical="center"/>
    </xf>
    <xf numFmtId="164" fontId="11" fillId="0" borderId="5" xfId="1" applyNumberFormat="1" applyFont="1" applyFill="1" applyBorder="1" applyAlignment="1">
      <alignment vertical="center"/>
    </xf>
    <xf numFmtId="164" fontId="0" fillId="0" borderId="5" xfId="1" applyNumberFormat="1" applyFont="1" applyFill="1" applyBorder="1" applyAlignment="1">
      <alignment vertical="center"/>
    </xf>
    <xf numFmtId="165" fontId="11" fillId="0" borderId="5" xfId="1" applyNumberFormat="1" applyFont="1" applyFill="1" applyBorder="1" applyAlignment="1">
      <alignment vertical="center"/>
    </xf>
    <xf numFmtId="164" fontId="22" fillId="0" borderId="5" xfId="1" applyNumberFormat="1" applyFont="1" applyFill="1" applyBorder="1" applyAlignment="1">
      <alignment vertical="center"/>
    </xf>
    <xf numFmtId="165" fontId="7" fillId="0" borderId="5" xfId="1" applyNumberFormat="1" applyFont="1" applyFill="1" applyBorder="1" applyAlignment="1">
      <alignment vertical="center"/>
    </xf>
    <xf numFmtId="165" fontId="0" fillId="0" borderId="5" xfId="1" applyNumberFormat="1" applyFont="1" applyFill="1" applyBorder="1" applyAlignment="1">
      <alignment vertical="center"/>
    </xf>
    <xf numFmtId="164" fontId="25" fillId="0" borderId="0" xfId="1" applyNumberFormat="1" applyFont="1" applyFill="1" applyBorder="1" applyAlignment="1">
      <alignment horizontal="center" vertical="center"/>
    </xf>
    <xf numFmtId="14" fontId="22" fillId="0" borderId="0" xfId="0" applyNumberFormat="1" applyFont="1" applyAlignment="1">
      <alignment horizontal="center" vertical="center"/>
    </xf>
    <xf numFmtId="3" fontId="5" fillId="0" borderId="0" xfId="1" applyNumberFormat="1" applyFont="1" applyFill="1" applyBorder="1"/>
    <xf numFmtId="3" fontId="9" fillId="0" borderId="0" xfId="0" applyNumberFormat="1" applyFont="1" applyAlignment="1">
      <alignment horizontal="left" vertical="center"/>
    </xf>
    <xf numFmtId="3" fontId="9" fillId="0" borderId="0" xfId="0" applyNumberFormat="1" applyFont="1" applyAlignment="1">
      <alignment vertical="center"/>
    </xf>
    <xf numFmtId="3" fontId="0" fillId="0" borderId="0" xfId="1" applyNumberFormat="1" applyFont="1" applyFill="1" applyBorder="1" applyAlignment="1">
      <alignment vertical="center"/>
    </xf>
    <xf numFmtId="3" fontId="13" fillId="0" borderId="0" xfId="1" applyNumberFormat="1" applyFont="1" applyFill="1" applyBorder="1" applyAlignment="1">
      <alignment vertical="center"/>
    </xf>
    <xf numFmtId="3" fontId="0" fillId="0" borderId="0" xfId="0" applyNumberFormat="1" applyAlignment="1">
      <alignment vertical="center"/>
    </xf>
    <xf numFmtId="3" fontId="14" fillId="0" borderId="0" xfId="1" applyNumberFormat="1" applyFont="1" applyFill="1" applyBorder="1" applyAlignment="1">
      <alignment vertical="center"/>
    </xf>
    <xf numFmtId="3" fontId="7" fillId="0" borderId="0" xfId="0" applyNumberFormat="1" applyFont="1" applyAlignment="1">
      <alignment vertical="center"/>
    </xf>
    <xf numFmtId="3" fontId="7" fillId="0" borderId="0" xfId="1" applyNumberFormat="1" applyFont="1" applyFill="1" applyBorder="1" applyAlignment="1">
      <alignment vertical="center"/>
    </xf>
    <xf numFmtId="164" fontId="7" fillId="2" borderId="0" xfId="1" applyNumberFormat="1" applyFont="1" applyFill="1" applyBorder="1" applyAlignment="1">
      <alignment horizontal="center" vertical="center"/>
    </xf>
    <xf numFmtId="0" fontId="22" fillId="0" borderId="0" xfId="0" applyFont="1" applyAlignment="1">
      <alignment vertical="center"/>
    </xf>
    <xf numFmtId="164" fontId="22" fillId="0" borderId="0" xfId="1" applyNumberFormat="1" applyFont="1" applyFill="1" applyBorder="1" applyAlignment="1">
      <alignment horizontal="center" vertical="center"/>
    </xf>
    <xf numFmtId="164" fontId="22" fillId="0" borderId="0" xfId="0" applyNumberFormat="1" applyFont="1" applyAlignment="1">
      <alignment horizontal="center" vertical="center"/>
    </xf>
    <xf numFmtId="165" fontId="22" fillId="0" borderId="0" xfId="1" applyNumberFormat="1" applyFont="1" applyFill="1" applyBorder="1" applyAlignment="1">
      <alignment vertical="center"/>
    </xf>
    <xf numFmtId="165" fontId="22" fillId="0" borderId="5" xfId="1" applyNumberFormat="1" applyFont="1" applyFill="1" applyBorder="1" applyAlignment="1">
      <alignment vertical="center"/>
    </xf>
    <xf numFmtId="3" fontId="22" fillId="0" borderId="0" xfId="0" applyNumberFormat="1" applyFont="1" applyAlignment="1">
      <alignment vertical="center"/>
    </xf>
    <xf numFmtId="3" fontId="22" fillId="0" borderId="0" xfId="1" applyNumberFormat="1" applyFont="1" applyFill="1" applyBorder="1" applyAlignment="1">
      <alignment vertical="center"/>
    </xf>
    <xf numFmtId="3" fontId="25" fillId="0" borderId="0" xfId="0" applyNumberFormat="1" applyFont="1" applyAlignment="1">
      <alignment vertical="center"/>
    </xf>
    <xf numFmtId="3" fontId="25" fillId="0" borderId="0" xfId="1" applyNumberFormat="1" applyFont="1" applyFill="1" applyBorder="1" applyAlignment="1">
      <alignment vertical="center"/>
    </xf>
    <xf numFmtId="3" fontId="0" fillId="10" borderId="2" xfId="1" applyNumberFormat="1" applyFont="1" applyFill="1" applyBorder="1" applyAlignment="1">
      <alignment vertical="center"/>
    </xf>
    <xf numFmtId="3" fontId="0" fillId="10" borderId="2" xfId="0" applyNumberFormat="1" applyFill="1" applyBorder="1" applyAlignment="1">
      <alignment vertical="center"/>
    </xf>
    <xf numFmtId="3" fontId="9" fillId="10" borderId="2" xfId="0" applyNumberFormat="1" applyFont="1" applyFill="1" applyBorder="1" applyAlignment="1">
      <alignment vertical="center"/>
    </xf>
    <xf numFmtId="3" fontId="0" fillId="11" borderId="2" xfId="1" applyNumberFormat="1" applyFont="1" applyFill="1" applyBorder="1" applyAlignment="1">
      <alignment vertical="center"/>
    </xf>
    <xf numFmtId="3" fontId="9" fillId="11" borderId="2" xfId="0" applyNumberFormat="1" applyFont="1" applyFill="1" applyBorder="1" applyAlignment="1">
      <alignment vertical="center"/>
    </xf>
    <xf numFmtId="3" fontId="0" fillId="11" borderId="2" xfId="0" applyNumberFormat="1" applyFill="1" applyBorder="1" applyAlignment="1">
      <alignment vertical="center"/>
    </xf>
    <xf numFmtId="3" fontId="27" fillId="12" borderId="2" xfId="0" applyNumberFormat="1" applyFont="1" applyFill="1" applyBorder="1" applyAlignment="1">
      <alignment horizontal="left" vertical="center"/>
    </xf>
    <xf numFmtId="3" fontId="28" fillId="12" borderId="2" xfId="1" applyNumberFormat="1" applyFont="1" applyFill="1" applyBorder="1" applyAlignment="1">
      <alignment vertical="center"/>
    </xf>
    <xf numFmtId="3" fontId="27" fillId="12" borderId="2" xfId="0" applyNumberFormat="1" applyFont="1" applyFill="1" applyBorder="1" applyAlignment="1">
      <alignment vertical="center"/>
    </xf>
    <xf numFmtId="3" fontId="7" fillId="2" borderId="0" xfId="1" applyNumberFormat="1" applyFont="1" applyFill="1" applyBorder="1" applyAlignment="1">
      <alignment vertical="center"/>
    </xf>
    <xf numFmtId="3" fontId="7" fillId="2" borderId="0" xfId="0" applyNumberFormat="1" applyFont="1" applyFill="1" applyAlignment="1">
      <alignment vertical="center"/>
    </xf>
    <xf numFmtId="1" fontId="0" fillId="0" borderId="0" xfId="0" applyNumberFormat="1" applyAlignment="1">
      <alignment horizontal="center" vertical="center"/>
    </xf>
    <xf numFmtId="14" fontId="6" fillId="0" borderId="0" xfId="0" applyNumberFormat="1" applyFont="1" applyAlignment="1">
      <alignment horizontal="center" vertical="center"/>
    </xf>
    <xf numFmtId="14" fontId="3" fillId="0" borderId="0" xfId="0" applyNumberFormat="1" applyFont="1" applyAlignment="1">
      <alignment vertical="center"/>
    </xf>
    <xf numFmtId="14" fontId="11" fillId="0" borderId="0" xfId="0" applyNumberFormat="1" applyFont="1" applyAlignment="1">
      <alignment vertical="center"/>
    </xf>
    <xf numFmtId="14" fontId="10" fillId="0" borderId="0" xfId="0" applyNumberFormat="1" applyFont="1" applyAlignment="1">
      <alignment vertical="center"/>
    </xf>
    <xf numFmtId="164" fontId="28" fillId="12" borderId="2" xfId="1" applyNumberFormat="1" applyFont="1" applyFill="1" applyBorder="1" applyAlignment="1">
      <alignment vertical="center"/>
    </xf>
    <xf numFmtId="164" fontId="11" fillId="10" borderId="2" xfId="1" applyNumberFormat="1" applyFont="1" applyFill="1" applyBorder="1" applyAlignment="1">
      <alignment vertical="center"/>
    </xf>
    <xf numFmtId="165" fontId="22" fillId="0" borderId="3" xfId="1" applyNumberFormat="1" applyFont="1" applyFill="1" applyBorder="1" applyAlignment="1">
      <alignment vertical="center"/>
    </xf>
    <xf numFmtId="165" fontId="12" fillId="0" borderId="0" xfId="1" applyNumberFormat="1" applyFont="1" applyFill="1" applyBorder="1" applyAlignment="1">
      <alignment vertical="center"/>
    </xf>
    <xf numFmtId="165" fontId="12" fillId="0" borderId="3" xfId="1" applyNumberFormat="1" applyFont="1" applyFill="1" applyBorder="1" applyAlignment="1">
      <alignment vertical="center"/>
    </xf>
    <xf numFmtId="164" fontId="7" fillId="2" borderId="0" xfId="0" applyNumberFormat="1" applyFont="1" applyFill="1" applyAlignment="1">
      <alignment horizontal="center" vertical="center"/>
    </xf>
    <xf numFmtId="0" fontId="9" fillId="10" borderId="3" xfId="0" applyFont="1" applyFill="1" applyBorder="1" applyAlignment="1">
      <alignment horizontal="center" vertical="center"/>
    </xf>
    <xf numFmtId="0" fontId="9" fillId="10" borderId="3" xfId="0" applyFont="1" applyFill="1" applyBorder="1" applyAlignment="1">
      <alignment horizontal="center" vertical="center" wrapText="1"/>
    </xf>
    <xf numFmtId="14" fontId="9" fillId="10" borderId="3" xfId="0" applyNumberFormat="1" applyFont="1" applyFill="1" applyBorder="1" applyAlignment="1">
      <alignment horizontal="center" vertical="center"/>
    </xf>
    <xf numFmtId="1" fontId="9" fillId="10" borderId="3" xfId="0" applyNumberFormat="1" applyFont="1" applyFill="1" applyBorder="1" applyAlignment="1">
      <alignment horizontal="center" vertical="center"/>
    </xf>
    <xf numFmtId="164" fontId="9" fillId="10" borderId="5" xfId="1" applyNumberFormat="1" applyFont="1" applyFill="1" applyBorder="1" applyAlignment="1">
      <alignment horizontal="center" vertical="center" wrapText="1"/>
    </xf>
    <xf numFmtId="164" fontId="9" fillId="10" borderId="5" xfId="1" applyNumberFormat="1" applyFont="1" applyFill="1" applyBorder="1" applyAlignment="1">
      <alignment horizontal="center" vertical="center"/>
    </xf>
    <xf numFmtId="164" fontId="9" fillId="10" borderId="6" xfId="1" applyNumberFormat="1" applyFont="1" applyFill="1" applyBorder="1" applyAlignment="1">
      <alignment horizontal="center" vertical="center" wrapText="1"/>
    </xf>
    <xf numFmtId="164" fontId="9" fillId="10" borderId="4" xfId="1" applyNumberFormat="1" applyFont="1" applyFill="1" applyBorder="1" applyAlignment="1">
      <alignment horizontal="center" vertical="center"/>
    </xf>
    <xf numFmtId="164" fontId="9" fillId="10" borderId="0" xfId="1" applyNumberFormat="1" applyFont="1" applyFill="1" applyBorder="1" applyAlignment="1">
      <alignment horizontal="center" vertical="center"/>
    </xf>
    <xf numFmtId="0" fontId="0" fillId="0" borderId="0" xfId="0" applyAlignment="1">
      <alignment horizontal="left" vertical="center" indent="6"/>
    </xf>
    <xf numFmtId="3" fontId="7" fillId="2" borderId="4" xfId="1" applyNumberFormat="1" applyFont="1" applyFill="1" applyBorder="1" applyAlignment="1">
      <alignment vertical="center"/>
    </xf>
    <xf numFmtId="164" fontId="7" fillId="2" borderId="4" xfId="1" applyNumberFormat="1" applyFont="1" applyFill="1" applyBorder="1" applyAlignment="1">
      <alignment vertical="center"/>
    </xf>
    <xf numFmtId="3" fontId="0" fillId="2" borderId="0" xfId="1" applyNumberFormat="1" applyFont="1" applyFill="1" applyBorder="1" applyAlignment="1">
      <alignment vertical="center"/>
    </xf>
    <xf numFmtId="164" fontId="28" fillId="12" borderId="0" xfId="1" applyNumberFormat="1" applyFont="1" applyFill="1" applyBorder="1" applyAlignment="1">
      <alignment vertical="center"/>
    </xf>
    <xf numFmtId="164" fontId="0" fillId="0" borderId="0" xfId="1" applyNumberFormat="1" applyFont="1" applyFill="1" applyAlignment="1">
      <alignment vertical="center"/>
    </xf>
    <xf numFmtId="164" fontId="31" fillId="0" borderId="0" xfId="1" applyNumberFormat="1" applyFont="1" applyBorder="1"/>
    <xf numFmtId="164" fontId="30" fillId="0" borderId="0" xfId="1" applyNumberFormat="1" applyFont="1" applyBorder="1"/>
    <xf numFmtId="0" fontId="31" fillId="0" borderId="0" xfId="0" applyFont="1" applyAlignment="1">
      <alignment horizontal="center"/>
    </xf>
    <xf numFmtId="0" fontId="0" fillId="0" borderId="0" xfId="0" applyAlignment="1">
      <alignment horizontal="center"/>
    </xf>
    <xf numFmtId="14" fontId="30" fillId="0" borderId="0" xfId="0" applyNumberFormat="1" applyFont="1" applyAlignment="1">
      <alignment horizontal="center"/>
    </xf>
    <xf numFmtId="14" fontId="31" fillId="0" borderId="0" xfId="0" applyNumberFormat="1" applyFont="1" applyAlignment="1">
      <alignment horizontal="center"/>
    </xf>
    <xf numFmtId="164" fontId="31" fillId="0" borderId="4" xfId="1" applyNumberFormat="1" applyFont="1" applyBorder="1"/>
    <xf numFmtId="164" fontId="31" fillId="0" borderId="5" xfId="1" applyNumberFormat="1" applyFont="1" applyBorder="1"/>
    <xf numFmtId="0" fontId="31" fillId="0" borderId="5" xfId="0" applyFont="1" applyBorder="1"/>
    <xf numFmtId="0" fontId="30" fillId="0" borderId="0" xfId="0" applyFont="1" applyAlignment="1">
      <alignment horizontal="center" vertical="center"/>
    </xf>
    <xf numFmtId="0" fontId="30" fillId="0" borderId="0" xfId="0" applyFont="1" applyAlignment="1">
      <alignment vertical="center"/>
    </xf>
    <xf numFmtId="14" fontId="30" fillId="0" borderId="0" xfId="0" applyNumberFormat="1" applyFont="1" applyAlignment="1">
      <alignment horizontal="center" vertical="center"/>
    </xf>
    <xf numFmtId="0" fontId="30" fillId="0" borderId="5" xfId="0" applyFont="1" applyBorder="1" applyAlignment="1">
      <alignment vertical="center"/>
    </xf>
    <xf numFmtId="0" fontId="30" fillId="0" borderId="4" xfId="0" applyFont="1" applyBorder="1" applyAlignment="1">
      <alignment vertical="center"/>
    </xf>
    <xf numFmtId="0" fontId="30" fillId="0" borderId="7" xfId="0" applyFont="1" applyBorder="1" applyAlignment="1">
      <alignment vertical="center"/>
    </xf>
    <xf numFmtId="0" fontId="30" fillId="0" borderId="8" xfId="0" applyFont="1" applyBorder="1" applyAlignment="1">
      <alignment vertical="center"/>
    </xf>
    <xf numFmtId="0" fontId="30" fillId="0" borderId="9" xfId="0" applyFont="1" applyBorder="1" applyAlignment="1">
      <alignment vertical="center"/>
    </xf>
    <xf numFmtId="164" fontId="33" fillId="0" borderId="5" xfId="1" applyNumberFormat="1" applyFont="1" applyBorder="1"/>
    <xf numFmtId="164" fontId="33" fillId="0" borderId="0" xfId="1" applyNumberFormat="1" applyFont="1" applyBorder="1"/>
    <xf numFmtId="164" fontId="30" fillId="2" borderId="0" xfId="1" applyNumberFormat="1" applyFont="1" applyFill="1" applyBorder="1"/>
    <xf numFmtId="164" fontId="32" fillId="2" borderId="0" xfId="1" applyNumberFormat="1" applyFont="1" applyFill="1" applyBorder="1"/>
    <xf numFmtId="0" fontId="4" fillId="0" borderId="0" xfId="0" applyFont="1" applyAlignment="1">
      <alignment horizontal="left" vertical="center" indent="6"/>
    </xf>
    <xf numFmtId="3" fontId="12" fillId="0" borderId="0" xfId="1" applyNumberFormat="1" applyFont="1" applyFill="1" applyBorder="1" applyAlignment="1">
      <alignment vertical="center"/>
    </xf>
    <xf numFmtId="164" fontId="3" fillId="2" borderId="3" xfId="1" applyNumberFormat="1" applyFont="1" applyFill="1" applyBorder="1" applyAlignment="1">
      <alignment vertical="center"/>
    </xf>
    <xf numFmtId="3" fontId="3" fillId="2" borderId="0" xfId="0" applyNumberFormat="1" applyFont="1" applyFill="1" applyAlignment="1">
      <alignment vertical="center"/>
    </xf>
    <xf numFmtId="164" fontId="3" fillId="2" borderId="0" xfId="1" applyNumberFormat="1" applyFont="1" applyFill="1" applyBorder="1" applyAlignment="1">
      <alignment horizontal="center" vertical="center"/>
    </xf>
    <xf numFmtId="14" fontId="31" fillId="16" borderId="0" xfId="0" applyNumberFormat="1" applyFont="1" applyFill="1" applyAlignment="1">
      <alignment horizontal="center"/>
    </xf>
    <xf numFmtId="164" fontId="31" fillId="16" borderId="5" xfId="1" applyNumberFormat="1" applyFont="1" applyFill="1" applyBorder="1"/>
    <xf numFmtId="164" fontId="31" fillId="16" borderId="0" xfId="1" applyNumberFormat="1" applyFont="1" applyFill="1" applyBorder="1"/>
    <xf numFmtId="164" fontId="31" fillId="16" borderId="4" xfId="1" applyNumberFormat="1" applyFont="1" applyFill="1" applyBorder="1"/>
    <xf numFmtId="164" fontId="5" fillId="0" borderId="0" xfId="0" applyNumberFormat="1" applyFont="1"/>
    <xf numFmtId="164" fontId="5" fillId="0" borderId="0" xfId="0" applyNumberFormat="1" applyFont="1" applyAlignment="1">
      <alignment horizontal="center"/>
    </xf>
    <xf numFmtId="165" fontId="5" fillId="0" borderId="0" xfId="1" applyNumberFormat="1" applyFont="1" applyBorder="1"/>
    <xf numFmtId="166" fontId="3" fillId="0" borderId="0" xfId="0" applyNumberFormat="1" applyFont="1" applyAlignment="1">
      <alignment horizontal="center" vertical="center" wrapText="1"/>
    </xf>
    <xf numFmtId="0" fontId="3" fillId="0" borderId="0" xfId="0" applyFont="1" applyAlignment="1">
      <alignment vertical="center"/>
    </xf>
    <xf numFmtId="43" fontId="3" fillId="0" borderId="0" xfId="1" applyFont="1" applyBorder="1"/>
    <xf numFmtId="43" fontId="3" fillId="0" borderId="0" xfId="1" applyFont="1" applyBorder="1" applyAlignment="1">
      <alignment horizontal="center"/>
    </xf>
    <xf numFmtId="14" fontId="18" fillId="17" borderId="2" xfId="0" applyNumberFormat="1" applyFont="1" applyFill="1" applyBorder="1" applyAlignment="1">
      <alignment horizontal="center" vertical="center"/>
    </xf>
    <xf numFmtId="14" fontId="18" fillId="17" borderId="2" xfId="0" applyNumberFormat="1" applyFont="1" applyFill="1" applyBorder="1" applyAlignment="1">
      <alignment horizontal="left" vertical="center" indent="5"/>
    </xf>
    <xf numFmtId="14" fontId="0" fillId="17" borderId="2" xfId="0" applyNumberFormat="1" applyFill="1" applyBorder="1" applyAlignment="1">
      <alignment horizontal="center" vertical="center"/>
    </xf>
    <xf numFmtId="0" fontId="7" fillId="17" borderId="2" xfId="0" applyFont="1" applyFill="1" applyBorder="1" applyAlignment="1">
      <alignment vertical="center"/>
    </xf>
    <xf numFmtId="0" fontId="0" fillId="17" borderId="2" xfId="0" applyFill="1" applyBorder="1" applyAlignment="1">
      <alignment vertical="center"/>
    </xf>
    <xf numFmtId="3" fontId="0" fillId="17" borderId="2" xfId="0" applyNumberFormat="1" applyFill="1" applyBorder="1" applyAlignment="1">
      <alignment vertical="center"/>
    </xf>
    <xf numFmtId="164" fontId="10" fillId="17" borderId="2" xfId="0" applyNumberFormat="1" applyFont="1" applyFill="1" applyBorder="1" applyAlignment="1">
      <alignment vertical="center"/>
    </xf>
    <xf numFmtId="164" fontId="10" fillId="17" borderId="2" xfId="0" applyNumberFormat="1" applyFont="1" applyFill="1" applyBorder="1" applyAlignment="1">
      <alignment horizontal="center" vertical="center"/>
    </xf>
    <xf numFmtId="164" fontId="10" fillId="17" borderId="2" xfId="1" applyNumberFormat="1" applyFont="1" applyFill="1" applyBorder="1" applyAlignment="1">
      <alignment vertical="center"/>
    </xf>
    <xf numFmtId="0" fontId="0" fillId="17" borderId="0" xfId="0" applyFill="1" applyAlignment="1">
      <alignment vertical="center"/>
    </xf>
    <xf numFmtId="164" fontId="7" fillId="2" borderId="0" xfId="1" applyNumberFormat="1" applyFont="1" applyFill="1" applyAlignment="1">
      <alignment vertical="center"/>
    </xf>
    <xf numFmtId="14" fontId="4" fillId="0" borderId="0" xfId="0" applyNumberFormat="1" applyFont="1" applyAlignment="1">
      <alignment horizontal="center" vertical="center"/>
    </xf>
    <xf numFmtId="0" fontId="3" fillId="0" borderId="0" xfId="0" applyFont="1" applyAlignment="1">
      <alignment horizontal="center" vertical="center"/>
    </xf>
    <xf numFmtId="164" fontId="0" fillId="0" borderId="1" xfId="1" applyNumberFormat="1" applyFont="1" applyFill="1" applyBorder="1" applyAlignment="1">
      <alignment vertical="center"/>
    </xf>
    <xf numFmtId="164" fontId="0" fillId="0" borderId="0" xfId="1" applyNumberFormat="1" applyFont="1" applyFill="1" applyBorder="1" applyAlignment="1">
      <alignment horizontal="center" vertical="center"/>
    </xf>
    <xf numFmtId="0" fontId="8" fillId="0" borderId="0" xfId="0" applyFont="1" applyAlignment="1">
      <alignment horizontal="center" vertical="center"/>
    </xf>
    <xf numFmtId="165" fontId="5" fillId="0" borderId="0" xfId="1" applyNumberFormat="1" applyFont="1" applyFill="1" applyBorder="1" applyAlignment="1">
      <alignment vertical="center"/>
    </xf>
    <xf numFmtId="0" fontId="20" fillId="0" borderId="0" xfId="0" applyFont="1" applyAlignment="1">
      <alignment horizontal="left" vertical="center" indent="1"/>
    </xf>
    <xf numFmtId="3" fontId="10" fillId="0" borderId="0" xfId="0" applyNumberFormat="1" applyFont="1" applyAlignment="1">
      <alignment vertical="center"/>
    </xf>
    <xf numFmtId="166" fontId="3" fillId="0" borderId="0" xfId="0" quotePrefix="1" applyNumberFormat="1" applyFont="1" applyAlignment="1">
      <alignment horizontal="center" vertical="center"/>
    </xf>
    <xf numFmtId="166" fontId="3" fillId="0" borderId="0" xfId="0" applyNumberFormat="1" applyFont="1" applyAlignment="1">
      <alignment horizontal="center" vertical="center"/>
    </xf>
    <xf numFmtId="164" fontId="11" fillId="0" borderId="3" xfId="0" applyNumberFormat="1" applyFont="1" applyBorder="1" applyAlignment="1">
      <alignment vertical="center"/>
    </xf>
    <xf numFmtId="3" fontId="12" fillId="0" borderId="0" xfId="0" applyNumberFormat="1" applyFont="1" applyAlignment="1">
      <alignment vertical="center"/>
    </xf>
    <xf numFmtId="14" fontId="25" fillId="2" borderId="0" xfId="0" applyNumberFormat="1" applyFont="1" applyFill="1" applyAlignment="1">
      <alignment horizontal="center" vertical="center"/>
    </xf>
    <xf numFmtId="0" fontId="25" fillId="2" borderId="0" xfId="0" applyFont="1" applyFill="1" applyAlignment="1">
      <alignment vertical="center"/>
    </xf>
    <xf numFmtId="164" fontId="25" fillId="2" borderId="0" xfId="1" applyNumberFormat="1" applyFont="1" applyFill="1" applyBorder="1" applyAlignment="1">
      <alignment vertical="center"/>
    </xf>
    <xf numFmtId="164" fontId="25" fillId="2" borderId="3" xfId="0" applyNumberFormat="1" applyFont="1" applyFill="1" applyBorder="1" applyAlignment="1">
      <alignment vertical="center"/>
    </xf>
    <xf numFmtId="3" fontId="25" fillId="2" borderId="0" xfId="0" applyNumberFormat="1" applyFont="1" applyFill="1" applyAlignment="1">
      <alignment vertical="center"/>
    </xf>
    <xf numFmtId="164" fontId="25" fillId="2" borderId="0" xfId="0" applyNumberFormat="1" applyFont="1" applyFill="1" applyAlignment="1">
      <alignment vertical="center"/>
    </xf>
    <xf numFmtId="164" fontId="25" fillId="2" borderId="0" xfId="0" applyNumberFormat="1" applyFont="1" applyFill="1" applyAlignment="1">
      <alignment horizontal="center" vertical="center"/>
    </xf>
    <xf numFmtId="164" fontId="11" fillId="2" borderId="3" xfId="1" applyNumberFormat="1" applyFont="1" applyFill="1" applyBorder="1" applyAlignment="1">
      <alignment vertical="center"/>
    </xf>
    <xf numFmtId="0" fontId="4" fillId="10" borderId="2" xfId="0" applyFont="1" applyFill="1" applyBorder="1" applyAlignment="1">
      <alignment vertical="center"/>
    </xf>
    <xf numFmtId="0" fontId="4" fillId="0" borderId="0" xfId="0" applyFont="1" applyAlignment="1">
      <alignment vertical="center"/>
    </xf>
    <xf numFmtId="0" fontId="4" fillId="2" borderId="0" xfId="0" applyFont="1" applyFill="1" applyAlignment="1">
      <alignment vertical="center"/>
    </xf>
    <xf numFmtId="0" fontId="4" fillId="11" borderId="2" xfId="0" applyFont="1" applyFill="1" applyBorder="1" applyAlignment="1">
      <alignment vertical="center"/>
    </xf>
    <xf numFmtId="0" fontId="4" fillId="0" borderId="0" xfId="0" applyFont="1" applyAlignment="1">
      <alignment horizontal="left" vertical="center" indent="5"/>
    </xf>
    <xf numFmtId="164" fontId="0" fillId="0" borderId="0" xfId="0" applyNumberFormat="1" applyAlignment="1">
      <alignment horizontal="right" vertical="center" indent="2"/>
    </xf>
    <xf numFmtId="164" fontId="31" fillId="0" borderId="0" xfId="0" applyNumberFormat="1" applyFont="1"/>
    <xf numFmtId="164" fontId="25" fillId="2" borderId="3" xfId="1" applyNumberFormat="1" applyFont="1" applyFill="1" applyBorder="1" applyAlignment="1">
      <alignment vertical="center"/>
    </xf>
    <xf numFmtId="3" fontId="25" fillId="2" borderId="0" xfId="1" applyNumberFormat="1" applyFont="1" applyFill="1" applyBorder="1" applyAlignment="1">
      <alignment vertical="center"/>
    </xf>
    <xf numFmtId="164" fontId="25" fillId="2" borderId="0" xfId="1" applyNumberFormat="1" applyFont="1" applyFill="1" applyBorder="1" applyAlignment="1">
      <alignment horizontal="center" vertical="center"/>
    </xf>
    <xf numFmtId="0" fontId="0" fillId="2" borderId="0" xfId="0" applyFill="1" applyAlignment="1">
      <alignment horizontal="left" vertical="center" indent="4"/>
    </xf>
    <xf numFmtId="0" fontId="0" fillId="0" borderId="0" xfId="0" applyAlignment="1">
      <alignment horizontal="left" vertical="center" indent="1"/>
    </xf>
    <xf numFmtId="14" fontId="18" fillId="12" borderId="2" xfId="0" applyNumberFormat="1" applyFont="1" applyFill="1" applyBorder="1" applyAlignment="1">
      <alignment horizontal="center" vertical="center"/>
    </xf>
    <xf numFmtId="14" fontId="25" fillId="2" borderId="0" xfId="0" applyNumberFormat="1" applyFont="1" applyFill="1" applyAlignment="1">
      <alignment horizontal="left" vertical="center"/>
    </xf>
    <xf numFmtId="10" fontId="0" fillId="0" borderId="0" xfId="2" applyNumberFormat="1" applyFont="1" applyAlignment="1">
      <alignment horizontal="right" indent="2"/>
    </xf>
    <xf numFmtId="10" fontId="0" fillId="0" borderId="0" xfId="2" applyNumberFormat="1" applyFont="1" applyAlignment="1">
      <alignment horizontal="right" vertical="center" indent="2"/>
    </xf>
    <xf numFmtId="10" fontId="7" fillId="0" borderId="0" xfId="2" applyNumberFormat="1" applyFont="1" applyFill="1" applyBorder="1" applyAlignment="1">
      <alignment horizontal="right" vertical="center" indent="2"/>
    </xf>
    <xf numFmtId="10" fontId="22" fillId="0" borderId="0" xfId="2" applyNumberFormat="1" applyFont="1" applyAlignment="1">
      <alignment horizontal="right" vertical="center" indent="2"/>
    </xf>
    <xf numFmtId="10" fontId="0" fillId="0" borderId="0" xfId="2" applyNumberFormat="1" applyFont="1" applyFill="1" applyAlignment="1">
      <alignment horizontal="right" vertical="center" indent="2"/>
    </xf>
    <xf numFmtId="10" fontId="0" fillId="0" borderId="0" xfId="2" applyNumberFormat="1" applyFont="1" applyFill="1" applyBorder="1" applyAlignment="1">
      <alignment horizontal="right" vertical="center" indent="2"/>
    </xf>
    <xf numFmtId="164" fontId="9" fillId="10" borderId="1" xfId="1" applyNumberFormat="1" applyFont="1" applyFill="1" applyBorder="1" applyAlignment="1">
      <alignment horizontal="center" vertical="center"/>
    </xf>
    <xf numFmtId="3" fontId="9" fillId="2" borderId="0" xfId="0" applyNumberFormat="1" applyFont="1" applyFill="1" applyAlignment="1">
      <alignment vertical="center"/>
    </xf>
    <xf numFmtId="164" fontId="12" fillId="2" borderId="0" xfId="1" applyNumberFormat="1" applyFont="1" applyFill="1" applyBorder="1" applyAlignment="1">
      <alignment horizontal="center" vertical="center"/>
    </xf>
    <xf numFmtId="0" fontId="24" fillId="9" borderId="2" xfId="0" applyFont="1" applyFill="1" applyBorder="1" applyAlignment="1">
      <alignment horizontal="center" vertical="center"/>
    </xf>
    <xf numFmtId="0" fontId="34" fillId="0" borderId="0" xfId="0" applyFont="1" applyAlignment="1">
      <alignment vertical="center"/>
    </xf>
    <xf numFmtId="164" fontId="35" fillId="0" borderId="3" xfId="1" applyNumberFormat="1" applyFont="1" applyFill="1" applyBorder="1" applyAlignment="1">
      <alignment vertical="center"/>
    </xf>
    <xf numFmtId="164" fontId="35" fillId="0" borderId="0" xfId="1" applyNumberFormat="1" applyFont="1" applyFill="1" applyBorder="1" applyAlignment="1">
      <alignment vertical="center"/>
    </xf>
    <xf numFmtId="164" fontId="11" fillId="0" borderId="4" xfId="1" applyNumberFormat="1" applyFont="1" applyFill="1" applyBorder="1" applyAlignment="1">
      <alignment vertical="center"/>
    </xf>
    <xf numFmtId="164" fontId="25" fillId="0" borderId="0" xfId="0" applyNumberFormat="1" applyFont="1" applyAlignment="1">
      <alignment horizontal="center" vertical="center"/>
    </xf>
    <xf numFmtId="164" fontId="11" fillId="10" borderId="10" xfId="1" applyNumberFormat="1" applyFont="1" applyFill="1" applyBorder="1" applyAlignment="1">
      <alignment vertical="center"/>
    </xf>
    <xf numFmtId="164" fontId="12" fillId="0" borderId="3" xfId="0" applyNumberFormat="1" applyFont="1" applyBorder="1" applyAlignment="1">
      <alignment vertical="center"/>
    </xf>
    <xf numFmtId="164" fontId="10" fillId="2" borderId="0" xfId="1" applyNumberFormat="1" applyFont="1" applyFill="1" applyBorder="1" applyAlignment="1">
      <alignment vertical="center"/>
    </xf>
    <xf numFmtId="3" fontId="6" fillId="2" borderId="0" xfId="0" applyNumberFormat="1" applyFont="1" applyFill="1" applyAlignment="1">
      <alignment vertical="center"/>
    </xf>
    <xf numFmtId="14" fontId="6" fillId="2" borderId="0" xfId="0" applyNumberFormat="1" applyFont="1" applyFill="1" applyAlignment="1">
      <alignment horizontal="center" vertical="center"/>
    </xf>
    <xf numFmtId="0" fontId="6" fillId="2" borderId="0" xfId="0" applyFont="1" applyFill="1" applyAlignment="1">
      <alignment vertical="center"/>
    </xf>
    <xf numFmtId="164" fontId="6" fillId="2" borderId="3" xfId="1" applyNumberFormat="1" applyFont="1" applyFill="1" applyBorder="1" applyAlignment="1">
      <alignment vertical="center"/>
    </xf>
    <xf numFmtId="164" fontId="10" fillId="0" borderId="3" xfId="1" applyNumberFormat="1" applyFont="1" applyFill="1" applyBorder="1" applyAlignment="1">
      <alignment vertical="center"/>
    </xf>
    <xf numFmtId="3" fontId="6" fillId="0" borderId="0" xfId="0" applyNumberFormat="1" applyFont="1" applyAlignment="1">
      <alignment vertical="center"/>
    </xf>
    <xf numFmtId="164" fontId="6" fillId="0" borderId="0" xfId="1" applyNumberFormat="1" applyFont="1" applyFill="1" applyBorder="1" applyAlignment="1">
      <alignment horizontal="center" vertical="center"/>
    </xf>
    <xf numFmtId="164" fontId="6" fillId="2" borderId="0" xfId="1" applyNumberFormat="1" applyFont="1" applyFill="1" applyBorder="1" applyAlignment="1">
      <alignment vertical="center"/>
    </xf>
    <xf numFmtId="0" fontId="6" fillId="0" borderId="0" xfId="0" applyFont="1" applyAlignment="1">
      <alignment vertical="center"/>
    </xf>
    <xf numFmtId="164" fontId="6" fillId="0" borderId="3" xfId="1" applyNumberFormat="1" applyFont="1" applyFill="1" applyBorder="1" applyAlignment="1">
      <alignment vertical="center"/>
    </xf>
    <xf numFmtId="14" fontId="18" fillId="0" borderId="0" xfId="0" applyNumberFormat="1" applyFont="1" applyAlignment="1">
      <alignment horizontal="center" vertical="center"/>
    </xf>
    <xf numFmtId="164" fontId="18" fillId="2" borderId="3" xfId="1" applyNumberFormat="1" applyFont="1" applyFill="1" applyBorder="1" applyAlignment="1">
      <alignment vertical="center"/>
    </xf>
    <xf numFmtId="0" fontId="0" fillId="10" borderId="0" xfId="0" applyFill="1" applyAlignment="1">
      <alignment vertical="center"/>
    </xf>
    <xf numFmtId="3" fontId="25" fillId="2" borderId="3" xfId="0" applyNumberFormat="1" applyFont="1" applyFill="1" applyBorder="1" applyAlignment="1">
      <alignment vertical="center"/>
    </xf>
    <xf numFmtId="3" fontId="9" fillId="0" borderId="3" xfId="0" applyNumberFormat="1" applyFont="1" applyBorder="1" applyAlignment="1">
      <alignment vertical="center"/>
    </xf>
    <xf numFmtId="14" fontId="11" fillId="0" borderId="0" xfId="0" applyNumberFormat="1" applyFont="1" applyAlignment="1">
      <alignment horizontal="left"/>
    </xf>
    <xf numFmtId="164" fontId="6" fillId="2" borderId="0" xfId="1" applyNumberFormat="1" applyFont="1" applyFill="1" applyBorder="1" applyAlignment="1">
      <alignment horizontal="center" vertical="center"/>
    </xf>
    <xf numFmtId="164" fontId="7" fillId="0" borderId="0" xfId="0" applyNumberFormat="1" applyFont="1" applyAlignment="1">
      <alignment horizontal="center" vertical="center"/>
    </xf>
    <xf numFmtId="164" fontId="10" fillId="2" borderId="0" xfId="0" applyNumberFormat="1" applyFont="1" applyFill="1" applyAlignment="1">
      <alignment vertical="center"/>
    </xf>
    <xf numFmtId="14" fontId="10" fillId="0" borderId="0" xfId="0" applyNumberFormat="1" applyFont="1" applyAlignment="1">
      <alignment horizontal="center" vertical="center"/>
    </xf>
    <xf numFmtId="3" fontId="6" fillId="0" borderId="0" xfId="1" applyNumberFormat="1" applyFont="1" applyFill="1" applyBorder="1" applyAlignment="1">
      <alignment vertical="center"/>
    </xf>
    <xf numFmtId="3" fontId="6" fillId="2" borderId="0" xfId="1" applyNumberFormat="1" applyFont="1" applyFill="1" applyBorder="1" applyAlignment="1">
      <alignment vertical="center"/>
    </xf>
    <xf numFmtId="165" fontId="6" fillId="0" borderId="0" xfId="1" applyNumberFormat="1" applyFont="1" applyFill="1" applyBorder="1" applyAlignment="1">
      <alignment vertical="center"/>
    </xf>
    <xf numFmtId="0" fontId="0" fillId="2" borderId="0" xfId="0" applyFill="1" applyAlignment="1">
      <alignment horizontal="center" vertical="center"/>
    </xf>
    <xf numFmtId="14" fontId="11" fillId="0" borderId="0" xfId="0" applyNumberFormat="1" applyFont="1" applyAlignment="1">
      <alignment horizontal="left" vertical="center"/>
    </xf>
    <xf numFmtId="3" fontId="12" fillId="0" borderId="3" xfId="0" applyNumberFormat="1" applyFont="1" applyBorder="1" applyAlignment="1">
      <alignment vertical="center"/>
    </xf>
    <xf numFmtId="0" fontId="35" fillId="2" borderId="0" xfId="0" applyFont="1" applyFill="1" applyAlignment="1">
      <alignment horizontal="center" vertical="center"/>
    </xf>
    <xf numFmtId="0" fontId="35" fillId="2" borderId="0" xfId="0" applyFont="1" applyFill="1" applyAlignment="1">
      <alignment horizontal="left" vertical="center" indent="5"/>
    </xf>
    <xf numFmtId="0" fontId="35" fillId="2" borderId="0" xfId="0" applyFont="1" applyFill="1" applyAlignment="1">
      <alignment vertical="center"/>
    </xf>
    <xf numFmtId="164" fontId="35" fillId="2" borderId="0" xfId="1" applyNumberFormat="1" applyFont="1" applyFill="1" applyBorder="1" applyAlignment="1">
      <alignment vertical="center"/>
    </xf>
    <xf numFmtId="3" fontId="35" fillId="2" borderId="0" xfId="0" applyNumberFormat="1" applyFont="1" applyFill="1" applyAlignment="1">
      <alignment vertical="center"/>
    </xf>
    <xf numFmtId="0" fontId="3" fillId="0" borderId="0" xfId="0" applyFont="1" applyAlignment="1">
      <alignment horizontal="left" vertical="center" indent="4"/>
    </xf>
    <xf numFmtId="164" fontId="3" fillId="0" borderId="0" xfId="1" applyNumberFormat="1" applyFont="1" applyFill="1" applyBorder="1" applyAlignment="1">
      <alignment horizontal="center" vertical="center"/>
    </xf>
    <xf numFmtId="164" fontId="6" fillId="2" borderId="0" xfId="0" applyNumberFormat="1" applyFont="1" applyFill="1" applyAlignment="1">
      <alignment horizontal="center" vertical="center"/>
    </xf>
    <xf numFmtId="164" fontId="0" fillId="0" borderId="4" xfId="1" applyNumberFormat="1" applyFont="1" applyFill="1" applyBorder="1" applyAlignment="1">
      <alignment vertical="center"/>
    </xf>
    <xf numFmtId="0" fontId="0" fillId="2" borderId="0" xfId="0" applyFill="1" applyAlignment="1">
      <alignment vertical="center"/>
    </xf>
    <xf numFmtId="0" fontId="10" fillId="0" borderId="0" xfId="0" applyFont="1" applyAlignment="1">
      <alignment vertical="center"/>
    </xf>
    <xf numFmtId="164" fontId="6" fillId="2" borderId="4" xfId="1" applyNumberFormat="1" applyFont="1" applyFill="1" applyBorder="1" applyAlignment="1">
      <alignment vertical="center"/>
    </xf>
    <xf numFmtId="3" fontId="6" fillId="2" borderId="3" xfId="0" applyNumberFormat="1" applyFont="1" applyFill="1" applyBorder="1" applyAlignment="1">
      <alignment vertical="center"/>
    </xf>
    <xf numFmtId="164" fontId="13" fillId="2" borderId="0" xfId="1" applyNumberFormat="1" applyFont="1" applyFill="1" applyBorder="1" applyAlignment="1">
      <alignment vertical="center"/>
    </xf>
    <xf numFmtId="164" fontId="11" fillId="0" borderId="3" xfId="1" applyNumberFormat="1" applyFont="1" applyBorder="1" applyAlignment="1">
      <alignment vertical="center"/>
    </xf>
    <xf numFmtId="0" fontId="43" fillId="0" borderId="0" xfId="0" applyFont="1" applyAlignment="1">
      <alignment vertical="center"/>
    </xf>
    <xf numFmtId="164" fontId="42" fillId="0" borderId="3" xfId="1" applyNumberFormat="1" applyFont="1" applyFill="1" applyBorder="1" applyAlignment="1">
      <alignment vertical="center"/>
    </xf>
    <xf numFmtId="14" fontId="18" fillId="17" borderId="2" xfId="0" applyNumberFormat="1" applyFont="1" applyFill="1" applyBorder="1" applyAlignment="1">
      <alignment horizontal="left" vertical="center" indent="4"/>
    </xf>
    <xf numFmtId="14" fontId="18" fillId="17" borderId="2" xfId="0" applyNumberFormat="1" applyFont="1" applyFill="1" applyBorder="1" applyAlignment="1">
      <alignment horizontal="left" vertical="center"/>
    </xf>
    <xf numFmtId="14" fontId="9" fillId="17" borderId="2" xfId="0" applyNumberFormat="1" applyFont="1" applyFill="1" applyBorder="1" applyAlignment="1">
      <alignment horizontal="left" vertical="center"/>
    </xf>
    <xf numFmtId="14" fontId="9" fillId="17" borderId="2" xfId="0" applyNumberFormat="1" applyFont="1" applyFill="1" applyBorder="1" applyAlignment="1">
      <alignment horizontal="center" vertical="center"/>
    </xf>
    <xf numFmtId="0" fontId="2" fillId="19" borderId="3" xfId="0" applyFont="1" applyFill="1" applyBorder="1" applyAlignment="1">
      <alignment horizontal="center" vertical="center" wrapText="1"/>
    </xf>
    <xf numFmtId="14" fontId="2" fillId="19" borderId="3" xfId="0" applyNumberFormat="1" applyFont="1" applyFill="1" applyBorder="1" applyAlignment="1">
      <alignment horizontal="center" vertical="center"/>
    </xf>
    <xf numFmtId="1" fontId="2" fillId="19" borderId="3" xfId="0" applyNumberFormat="1" applyFont="1" applyFill="1" applyBorder="1" applyAlignment="1">
      <alignment horizontal="center" vertical="center"/>
    </xf>
    <xf numFmtId="164" fontId="2" fillId="19" borderId="5" xfId="1" applyNumberFormat="1" applyFont="1" applyFill="1" applyBorder="1" applyAlignment="1">
      <alignment horizontal="center" vertical="center" wrapText="1"/>
    </xf>
    <xf numFmtId="164" fontId="2" fillId="19" borderId="0" xfId="1" applyNumberFormat="1" applyFont="1" applyFill="1" applyBorder="1" applyAlignment="1">
      <alignment horizontal="center" vertical="center"/>
    </xf>
    <xf numFmtId="164" fontId="2" fillId="19" borderId="1" xfId="1" applyNumberFormat="1" applyFont="1" applyFill="1" applyBorder="1" applyAlignment="1">
      <alignment horizontal="center" vertical="center"/>
    </xf>
    <xf numFmtId="14" fontId="18" fillId="20" borderId="2" xfId="0" applyNumberFormat="1" applyFont="1" applyFill="1" applyBorder="1" applyAlignment="1">
      <alignment horizontal="left" vertical="center" indent="4"/>
    </xf>
    <xf numFmtId="14" fontId="0" fillId="20" borderId="2" xfId="0" applyNumberFormat="1" applyFill="1" applyBorder="1" applyAlignment="1">
      <alignment horizontal="center" vertical="center"/>
    </xf>
    <xf numFmtId="14" fontId="18" fillId="20" borderId="2" xfId="0" applyNumberFormat="1" applyFont="1" applyFill="1" applyBorder="1" applyAlignment="1">
      <alignment horizontal="left" vertical="center"/>
    </xf>
    <xf numFmtId="14" fontId="9" fillId="20" borderId="2" xfId="0" applyNumberFormat="1" applyFont="1" applyFill="1" applyBorder="1" applyAlignment="1">
      <alignment horizontal="left" vertical="center"/>
    </xf>
    <xf numFmtId="14" fontId="9" fillId="20" borderId="2" xfId="0" applyNumberFormat="1" applyFont="1" applyFill="1" applyBorder="1" applyAlignment="1">
      <alignment horizontal="center" vertical="center"/>
    </xf>
    <xf numFmtId="14" fontId="18" fillId="21" borderId="2" xfId="0" applyNumberFormat="1" applyFont="1" applyFill="1" applyBorder="1" applyAlignment="1">
      <alignment horizontal="left" vertical="center" indent="4"/>
    </xf>
    <xf numFmtId="14" fontId="0" fillId="21" borderId="2" xfId="0" applyNumberFormat="1" applyFill="1" applyBorder="1" applyAlignment="1">
      <alignment horizontal="center" vertical="center"/>
    </xf>
    <xf numFmtId="14" fontId="18" fillId="21" borderId="2" xfId="0" applyNumberFormat="1" applyFont="1" applyFill="1" applyBorder="1" applyAlignment="1">
      <alignment horizontal="left" vertical="center"/>
    </xf>
    <xf numFmtId="14" fontId="9" fillId="21" borderId="2" xfId="0" applyNumberFormat="1" applyFont="1" applyFill="1" applyBorder="1" applyAlignment="1">
      <alignment horizontal="left" vertical="center"/>
    </xf>
    <xf numFmtId="14" fontId="9" fillId="21" borderId="2" xfId="0" applyNumberFormat="1" applyFont="1" applyFill="1" applyBorder="1" applyAlignment="1">
      <alignment horizontal="center" vertical="center"/>
    </xf>
    <xf numFmtId="14" fontId="18" fillId="22" borderId="2" xfId="0" applyNumberFormat="1" applyFont="1" applyFill="1" applyBorder="1" applyAlignment="1">
      <alignment horizontal="left" vertical="center" indent="4"/>
    </xf>
    <xf numFmtId="14" fontId="0" fillId="22" borderId="2" xfId="0" applyNumberFormat="1" applyFill="1" applyBorder="1" applyAlignment="1">
      <alignment horizontal="center" vertical="center"/>
    </xf>
    <xf numFmtId="14" fontId="18" fillId="22" borderId="2" xfId="0" applyNumberFormat="1" applyFont="1" applyFill="1" applyBorder="1" applyAlignment="1">
      <alignment horizontal="left" vertical="center"/>
    </xf>
    <xf numFmtId="14" fontId="9" fillId="22" borderId="2" xfId="0" applyNumberFormat="1" applyFont="1" applyFill="1" applyBorder="1" applyAlignment="1">
      <alignment horizontal="left" vertical="center"/>
    </xf>
    <xf numFmtId="14" fontId="9" fillId="22" borderId="2" xfId="0" applyNumberFormat="1" applyFont="1" applyFill="1" applyBorder="1" applyAlignment="1">
      <alignment horizontal="center" vertical="center"/>
    </xf>
    <xf numFmtId="14" fontId="18" fillId="0" borderId="0" xfId="0" applyNumberFormat="1" applyFont="1" applyAlignment="1">
      <alignment horizontal="left" vertical="center" indent="4"/>
    </xf>
    <xf numFmtId="14" fontId="18" fillId="0" borderId="0" xfId="1" applyNumberFormat="1" applyFont="1" applyFill="1" applyBorder="1" applyAlignment="1">
      <alignment horizontal="left" vertical="center"/>
    </xf>
    <xf numFmtId="14" fontId="9" fillId="0" borderId="0" xfId="1" applyNumberFormat="1" applyFont="1" applyFill="1" applyBorder="1" applyAlignment="1">
      <alignment horizontal="left" vertical="center"/>
    </xf>
    <xf numFmtId="14" fontId="9" fillId="0" borderId="0" xfId="1" applyNumberFormat="1" applyFont="1" applyFill="1" applyBorder="1" applyAlignment="1">
      <alignment horizontal="center" vertical="center"/>
    </xf>
    <xf numFmtId="14" fontId="18" fillId="0" borderId="0" xfId="0" applyNumberFormat="1" applyFont="1" applyAlignment="1">
      <alignment horizontal="left" vertical="center"/>
    </xf>
    <xf numFmtId="14" fontId="18" fillId="0" borderId="2" xfId="0" applyNumberFormat="1" applyFont="1" applyBorder="1" applyAlignment="1">
      <alignment horizontal="left" vertical="center" indent="4"/>
    </xf>
    <xf numFmtId="14" fontId="18" fillId="0" borderId="2" xfId="0" applyNumberFormat="1" applyFont="1" applyBorder="1" applyAlignment="1">
      <alignment horizontal="left" vertical="center"/>
    </xf>
    <xf numFmtId="14" fontId="9" fillId="0" borderId="2" xfId="0" applyNumberFormat="1" applyFont="1" applyBorder="1" applyAlignment="1">
      <alignment horizontal="left" vertical="center"/>
    </xf>
    <xf numFmtId="14" fontId="9" fillId="0" borderId="2" xfId="0" applyNumberFormat="1" applyFont="1" applyBorder="1" applyAlignment="1">
      <alignment horizontal="center" vertical="center"/>
    </xf>
    <xf numFmtId="14" fontId="18" fillId="23" borderId="2" xfId="0" applyNumberFormat="1" applyFont="1" applyFill="1" applyBorder="1" applyAlignment="1">
      <alignment horizontal="left" vertical="center" indent="4"/>
    </xf>
    <xf numFmtId="14" fontId="18" fillId="23" borderId="2" xfId="0" applyNumberFormat="1" applyFont="1" applyFill="1" applyBorder="1" applyAlignment="1">
      <alignment horizontal="left" vertical="center"/>
    </xf>
    <xf numFmtId="10" fontId="10" fillId="0" borderId="0" xfId="2" applyNumberFormat="1" applyFont="1" applyAlignment="1">
      <alignment horizontal="right" vertical="center" indent="2"/>
    </xf>
    <xf numFmtId="0" fontId="10" fillId="0" borderId="0" xfId="0" applyFont="1"/>
    <xf numFmtId="0" fontId="11" fillId="0" borderId="0" xfId="0" applyFont="1" applyAlignment="1">
      <alignment horizontal="center" vertical="center"/>
    </xf>
    <xf numFmtId="0" fontId="18" fillId="0" borderId="0" xfId="0" applyFont="1" applyAlignment="1">
      <alignment horizontal="center" vertical="center"/>
    </xf>
    <xf numFmtId="10" fontId="11" fillId="0" borderId="0" xfId="2" applyNumberFormat="1" applyFont="1" applyAlignment="1">
      <alignment horizontal="right" vertical="center" indent="2"/>
    </xf>
    <xf numFmtId="0" fontId="11" fillId="0" borderId="0" xfId="0" applyFont="1"/>
    <xf numFmtId="0" fontId="10" fillId="0" borderId="0" xfId="0" applyFont="1" applyAlignment="1">
      <alignment horizontal="center" vertical="center"/>
    </xf>
    <xf numFmtId="14" fontId="18" fillId="17" borderId="0" xfId="0" applyNumberFormat="1" applyFont="1" applyFill="1" applyAlignment="1">
      <alignment horizontal="left" vertical="center" indent="4"/>
    </xf>
    <xf numFmtId="14" fontId="0" fillId="17" borderId="0" xfId="0" applyNumberFormat="1" applyFill="1" applyAlignment="1">
      <alignment horizontal="center" vertical="center"/>
    </xf>
    <xf numFmtId="14" fontId="18" fillId="17" borderId="0" xfId="0" applyNumberFormat="1" applyFont="1" applyFill="1" applyAlignment="1">
      <alignment horizontal="left" vertical="center"/>
    </xf>
    <xf numFmtId="14" fontId="9" fillId="17" borderId="0" xfId="0" applyNumberFormat="1" applyFont="1" applyFill="1" applyAlignment="1">
      <alignment horizontal="left" vertical="center"/>
    </xf>
    <xf numFmtId="14" fontId="9" fillId="17" borderId="0" xfId="0" applyNumberFormat="1" applyFont="1" applyFill="1" applyAlignment="1">
      <alignment horizontal="center" vertical="center"/>
    </xf>
    <xf numFmtId="14" fontId="9" fillId="0" borderId="0" xfId="0" applyNumberFormat="1" applyFont="1" applyAlignment="1">
      <alignment horizontal="left" vertical="center"/>
    </xf>
    <xf numFmtId="14" fontId="9" fillId="0" borderId="0" xfId="0" applyNumberFormat="1" applyFont="1" applyAlignment="1">
      <alignment horizontal="center" vertical="center"/>
    </xf>
    <xf numFmtId="14" fontId="4" fillId="0" borderId="0" xfId="0" applyNumberFormat="1" applyFont="1" applyAlignment="1">
      <alignment horizontal="left" vertical="center" indent="4"/>
    </xf>
    <xf numFmtId="14" fontId="4" fillId="0" borderId="0" xfId="0" applyNumberFormat="1" applyFont="1" applyAlignment="1">
      <alignment horizontal="left" vertical="center"/>
    </xf>
    <xf numFmtId="164" fontId="4" fillId="0" borderId="0" xfId="1" applyNumberFormat="1" applyFont="1" applyFill="1" applyBorder="1" applyAlignment="1">
      <alignment vertical="center"/>
    </xf>
    <xf numFmtId="164" fontId="4" fillId="0" borderId="0" xfId="1" applyNumberFormat="1" applyFont="1" applyFill="1" applyBorder="1" applyAlignment="1">
      <alignment horizontal="center" vertical="center"/>
    </xf>
    <xf numFmtId="14" fontId="6" fillId="0" borderId="2" xfId="0" applyNumberFormat="1" applyFont="1" applyBorder="1" applyAlignment="1">
      <alignment horizontal="left" vertical="center"/>
    </xf>
    <xf numFmtId="14" fontId="6" fillId="0" borderId="2" xfId="0" applyNumberFormat="1" applyFont="1" applyBorder="1" applyAlignment="1">
      <alignment horizontal="center" vertical="center"/>
    </xf>
    <xf numFmtId="10" fontId="6" fillId="0" borderId="0" xfId="2" applyNumberFormat="1" applyFont="1" applyFill="1" applyAlignment="1">
      <alignment horizontal="right" vertical="center" indent="2"/>
    </xf>
    <xf numFmtId="0" fontId="6" fillId="0" borderId="0" xfId="0" applyFont="1"/>
    <xf numFmtId="10" fontId="0" fillId="0" borderId="0" xfId="2" applyNumberFormat="1" applyFont="1" applyBorder="1" applyAlignment="1">
      <alignment horizontal="right" vertical="center" indent="2"/>
    </xf>
    <xf numFmtId="10" fontId="10" fillId="0" borderId="0" xfId="2" applyNumberFormat="1" applyFont="1" applyBorder="1" applyAlignment="1">
      <alignment horizontal="right" vertical="center" indent="2"/>
    </xf>
    <xf numFmtId="3" fontId="2" fillId="19" borderId="4" xfId="1" applyNumberFormat="1" applyFont="1" applyFill="1" applyBorder="1" applyAlignment="1">
      <alignment horizontal="center" vertical="center"/>
    </xf>
    <xf numFmtId="3" fontId="6" fillId="0" borderId="0" xfId="1" applyNumberFormat="1" applyFont="1" applyAlignment="1">
      <alignment horizontal="center" vertical="center"/>
    </xf>
    <xf numFmtId="3" fontId="9" fillId="17" borderId="2" xfId="0" applyNumberFormat="1" applyFont="1" applyFill="1" applyBorder="1" applyAlignment="1">
      <alignment horizontal="center" vertical="center"/>
    </xf>
    <xf numFmtId="3" fontId="4" fillId="0" borderId="0" xfId="0" applyNumberFormat="1" applyFont="1" applyAlignment="1">
      <alignment horizontal="center" vertical="center"/>
    </xf>
    <xf numFmtId="3" fontId="4" fillId="0" borderId="0" xfId="1" applyNumberFormat="1" applyFont="1" applyFill="1" applyBorder="1" applyAlignment="1">
      <alignment horizontal="center" vertical="center"/>
    </xf>
    <xf numFmtId="3" fontId="9" fillId="17" borderId="0" xfId="0" applyNumberFormat="1" applyFont="1" applyFill="1" applyAlignment="1">
      <alignment horizontal="center" vertical="center"/>
    </xf>
    <xf numFmtId="3" fontId="11" fillId="0" borderId="0" xfId="1" applyNumberFormat="1" applyFont="1" applyFill="1" applyBorder="1" applyAlignment="1">
      <alignment horizontal="center" vertical="center"/>
    </xf>
    <xf numFmtId="3" fontId="9" fillId="0" borderId="0" xfId="0" applyNumberFormat="1" applyFont="1" applyAlignment="1">
      <alignment horizontal="center" vertical="center"/>
    </xf>
    <xf numFmtId="3" fontId="7" fillId="0" borderId="0" xfId="1" applyNumberFormat="1" applyFont="1" applyFill="1" applyBorder="1" applyAlignment="1">
      <alignment horizontal="center" vertical="center"/>
    </xf>
    <xf numFmtId="3" fontId="9" fillId="20" borderId="2" xfId="0" applyNumberFormat="1" applyFont="1" applyFill="1" applyBorder="1" applyAlignment="1">
      <alignment horizontal="center" vertical="center"/>
    </xf>
    <xf numFmtId="3" fontId="9" fillId="0" borderId="0" xfId="1" applyNumberFormat="1" applyFont="1" applyFill="1" applyBorder="1" applyAlignment="1">
      <alignment horizontal="center" vertical="center"/>
    </xf>
    <xf numFmtId="3" fontId="9" fillId="12" borderId="2" xfId="0" applyNumberFormat="1" applyFont="1" applyFill="1" applyBorder="1" applyAlignment="1">
      <alignment horizontal="center" vertical="center"/>
    </xf>
    <xf numFmtId="3" fontId="9" fillId="0" borderId="2" xfId="0" applyNumberFormat="1" applyFont="1" applyBorder="1" applyAlignment="1">
      <alignment horizontal="center" vertical="center"/>
    </xf>
    <xf numFmtId="3" fontId="9" fillId="21" borderId="2" xfId="0" applyNumberFormat="1" applyFont="1" applyFill="1" applyBorder="1" applyAlignment="1">
      <alignment horizontal="center" vertical="center"/>
    </xf>
    <xf numFmtId="3" fontId="9" fillId="22" borderId="2" xfId="0" applyNumberFormat="1" applyFont="1" applyFill="1" applyBorder="1" applyAlignment="1">
      <alignment horizontal="center" vertical="center"/>
    </xf>
    <xf numFmtId="3" fontId="46" fillId="0" borderId="0" xfId="0" applyNumberFormat="1" applyFont="1" applyAlignment="1">
      <alignment horizontal="center" vertical="center"/>
    </xf>
    <xf numFmtId="3" fontId="3" fillId="0" borderId="0" xfId="1" applyNumberFormat="1" applyFont="1" applyFill="1" applyBorder="1" applyAlignment="1">
      <alignment horizontal="center" vertical="center"/>
    </xf>
    <xf numFmtId="3" fontId="18" fillId="0" borderId="0" xfId="1" applyNumberFormat="1" applyFont="1" applyFill="1" applyBorder="1" applyAlignment="1">
      <alignment horizontal="center" vertical="center"/>
    </xf>
    <xf numFmtId="3" fontId="6" fillId="0" borderId="0" xfId="0" applyNumberFormat="1" applyFont="1" applyAlignment="1">
      <alignment horizontal="center" vertical="center"/>
    </xf>
    <xf numFmtId="164" fontId="0" fillId="0" borderId="0" xfId="1" applyNumberFormat="1" applyFont="1" applyBorder="1" applyAlignment="1">
      <alignment horizontal="center" vertical="center"/>
    </xf>
    <xf numFmtId="3" fontId="11" fillId="0" borderId="0" xfId="0" applyNumberFormat="1" applyFont="1" applyAlignment="1">
      <alignment vertical="center"/>
    </xf>
    <xf numFmtId="10" fontId="6" fillId="0" borderId="0" xfId="2" applyNumberFormat="1" applyFont="1" applyAlignment="1">
      <alignment horizontal="right" vertical="center" indent="2"/>
    </xf>
    <xf numFmtId="14" fontId="11" fillId="0" borderId="0" xfId="0" applyNumberFormat="1" applyFont="1" applyAlignment="1">
      <alignment horizontal="left" vertical="center" indent="4"/>
    </xf>
    <xf numFmtId="14" fontId="46" fillId="0" borderId="0" xfId="0" applyNumberFormat="1" applyFont="1" applyAlignment="1">
      <alignment horizontal="center" vertical="center"/>
    </xf>
    <xf numFmtId="14" fontId="46" fillId="0" borderId="0" xfId="0" applyNumberFormat="1" applyFont="1" applyAlignment="1">
      <alignment horizontal="left" vertical="center"/>
    </xf>
    <xf numFmtId="10" fontId="1" fillId="0" borderId="0" xfId="2" applyNumberFormat="1" applyFont="1" applyFill="1" applyAlignment="1">
      <alignment horizontal="right" vertical="center" indent="2"/>
    </xf>
    <xf numFmtId="14" fontId="3" fillId="0" borderId="0" xfId="0" applyNumberFormat="1" applyFont="1" applyAlignment="1">
      <alignment horizontal="center" vertical="center"/>
    </xf>
    <xf numFmtId="164" fontId="3" fillId="0" borderId="0" xfId="1" applyNumberFormat="1" applyFont="1" applyFill="1" applyBorder="1" applyAlignment="1">
      <alignment vertical="center"/>
    </xf>
    <xf numFmtId="10" fontId="1" fillId="0" borderId="0" xfId="2" applyNumberFormat="1" applyFont="1" applyAlignment="1">
      <alignment horizontal="right" vertical="center" indent="2"/>
    </xf>
    <xf numFmtId="14" fontId="0" fillId="0" borderId="0" xfId="0" applyNumberFormat="1" applyAlignment="1">
      <alignment horizontal="left" vertical="center"/>
    </xf>
    <xf numFmtId="3" fontId="46" fillId="0" borderId="3" xfId="1" applyNumberFormat="1" applyFont="1" applyFill="1" applyBorder="1" applyAlignment="1">
      <alignment horizontal="right" vertical="center"/>
    </xf>
    <xf numFmtId="3" fontId="2" fillId="19" borderId="3" xfId="1" applyNumberFormat="1" applyFont="1" applyFill="1" applyBorder="1" applyAlignment="1">
      <alignment horizontal="right" vertical="center"/>
    </xf>
    <xf numFmtId="3" fontId="9" fillId="17" borderId="11" xfId="0" applyNumberFormat="1" applyFont="1" applyFill="1" applyBorder="1" applyAlignment="1">
      <alignment horizontal="right" vertical="center"/>
    </xf>
    <xf numFmtId="3" fontId="4" fillId="0" borderId="3" xfId="1" applyNumberFormat="1" applyFont="1" applyFill="1" applyBorder="1" applyAlignment="1">
      <alignment horizontal="right" vertical="center"/>
    </xf>
    <xf numFmtId="3" fontId="9" fillId="17" borderId="3" xfId="0" applyNumberFormat="1" applyFont="1" applyFill="1" applyBorder="1" applyAlignment="1">
      <alignment horizontal="right" vertical="center"/>
    </xf>
    <xf numFmtId="3" fontId="11" fillId="0" borderId="3" xfId="1" applyNumberFormat="1" applyFont="1" applyFill="1" applyBorder="1" applyAlignment="1">
      <alignment horizontal="right" vertical="center"/>
    </xf>
    <xf numFmtId="3" fontId="9" fillId="0" borderId="3" xfId="1" applyNumberFormat="1" applyFont="1" applyFill="1" applyBorder="1" applyAlignment="1">
      <alignment horizontal="right" vertical="center"/>
    </xf>
    <xf numFmtId="3" fontId="7" fillId="0" borderId="3" xfId="1" applyNumberFormat="1" applyFont="1" applyFill="1" applyBorder="1" applyAlignment="1">
      <alignment horizontal="right" vertical="center"/>
    </xf>
    <xf numFmtId="3" fontId="3" fillId="0" borderId="3" xfId="1" applyNumberFormat="1" applyFont="1" applyFill="1" applyBorder="1" applyAlignment="1">
      <alignment horizontal="right" vertical="center"/>
    </xf>
    <xf numFmtId="3" fontId="9" fillId="20" borderId="11" xfId="0" applyNumberFormat="1" applyFont="1" applyFill="1" applyBorder="1" applyAlignment="1">
      <alignment horizontal="right" vertical="center"/>
    </xf>
    <xf numFmtId="3" fontId="9" fillId="12" borderId="11" xfId="0" applyNumberFormat="1" applyFont="1" applyFill="1" applyBorder="1" applyAlignment="1">
      <alignment horizontal="right" vertical="center"/>
    </xf>
    <xf numFmtId="3" fontId="9" fillId="0" borderId="11" xfId="1" applyNumberFormat="1" applyFont="1" applyFill="1" applyBorder="1" applyAlignment="1">
      <alignment horizontal="right" vertical="center"/>
    </xf>
    <xf numFmtId="3" fontId="9" fillId="21" borderId="11" xfId="0" applyNumberFormat="1" applyFont="1" applyFill="1" applyBorder="1" applyAlignment="1">
      <alignment horizontal="right" vertical="center"/>
    </xf>
    <xf numFmtId="3" fontId="9" fillId="22" borderId="11" xfId="0" applyNumberFormat="1" applyFont="1" applyFill="1" applyBorder="1" applyAlignment="1">
      <alignment horizontal="right" vertical="center"/>
    </xf>
    <xf numFmtId="3" fontId="0" fillId="0" borderId="3" xfId="1" applyNumberFormat="1" applyFont="1" applyFill="1" applyBorder="1" applyAlignment="1">
      <alignment horizontal="right" vertical="center"/>
    </xf>
    <xf numFmtId="3" fontId="14" fillId="0" borderId="3" xfId="1" applyNumberFormat="1" applyFont="1" applyFill="1" applyBorder="1" applyAlignment="1">
      <alignment horizontal="right" vertical="center"/>
    </xf>
    <xf numFmtId="3" fontId="0" fillId="0" borderId="3" xfId="0" applyNumberFormat="1" applyBorder="1" applyAlignment="1">
      <alignment horizontal="right" vertical="center"/>
    </xf>
    <xf numFmtId="3" fontId="5" fillId="0" borderId="3" xfId="1" applyNumberFormat="1" applyFont="1" applyFill="1" applyBorder="1" applyAlignment="1">
      <alignment horizontal="right" vertical="center"/>
    </xf>
    <xf numFmtId="14" fontId="6" fillId="2" borderId="2" xfId="0" applyNumberFormat="1" applyFont="1" applyFill="1" applyBorder="1" applyAlignment="1">
      <alignment horizontal="left" vertical="center" indent="4"/>
    </xf>
    <xf numFmtId="14" fontId="6" fillId="2" borderId="2" xfId="0" applyNumberFormat="1" applyFont="1" applyFill="1" applyBorder="1" applyAlignment="1">
      <alignment horizontal="center" vertical="center"/>
    </xf>
    <xf numFmtId="14" fontId="6" fillId="2" borderId="2" xfId="0" applyNumberFormat="1" applyFont="1" applyFill="1" applyBorder="1" applyAlignment="1">
      <alignment horizontal="left" vertical="center"/>
    </xf>
    <xf numFmtId="3" fontId="6" fillId="2" borderId="2" xfId="0" applyNumberFormat="1" applyFont="1" applyFill="1" applyBorder="1" applyAlignment="1">
      <alignment horizontal="center" vertical="center"/>
    </xf>
    <xf numFmtId="3" fontId="6" fillId="2" borderId="11" xfId="1" applyNumberFormat="1" applyFont="1" applyFill="1" applyBorder="1" applyAlignment="1">
      <alignment horizontal="right" vertical="center"/>
    </xf>
    <xf numFmtId="0" fontId="6" fillId="2" borderId="0" xfId="0" applyFont="1" applyFill="1" applyAlignment="1">
      <alignment horizontal="left" vertical="center" indent="4"/>
    </xf>
    <xf numFmtId="14" fontId="6" fillId="2" borderId="0" xfId="0" applyNumberFormat="1" applyFont="1" applyFill="1" applyAlignment="1">
      <alignment horizontal="left" vertical="center"/>
    </xf>
    <xf numFmtId="3" fontId="6" fillId="2" borderId="0" xfId="0" applyNumberFormat="1" applyFont="1" applyFill="1" applyAlignment="1">
      <alignment horizontal="center" vertical="center"/>
    </xf>
    <xf numFmtId="3" fontId="6" fillId="2" borderId="3" xfId="1" applyNumberFormat="1" applyFont="1" applyFill="1" applyBorder="1" applyAlignment="1">
      <alignment horizontal="right" vertical="center"/>
    </xf>
    <xf numFmtId="0" fontId="10" fillId="2" borderId="0" xfId="0" applyFont="1" applyFill="1" applyAlignment="1">
      <alignment horizontal="left" vertical="center" indent="4"/>
    </xf>
    <xf numFmtId="14" fontId="10" fillId="2" borderId="0" xfId="0" applyNumberFormat="1" applyFont="1" applyFill="1" applyAlignment="1">
      <alignment horizontal="center" vertical="center"/>
    </xf>
    <xf numFmtId="3" fontId="10" fillId="2" borderId="0" xfId="1" applyNumberFormat="1" applyFont="1" applyFill="1" applyBorder="1" applyAlignment="1">
      <alignment horizontal="center" vertical="center"/>
    </xf>
    <xf numFmtId="3" fontId="10" fillId="2" borderId="3" xfId="1" applyNumberFormat="1" applyFont="1" applyFill="1" applyBorder="1" applyAlignment="1">
      <alignment horizontal="right" vertical="center"/>
    </xf>
    <xf numFmtId="3" fontId="6" fillId="2" borderId="0" xfId="1" applyNumberFormat="1" applyFont="1" applyFill="1" applyBorder="1" applyAlignment="1">
      <alignment horizontal="center" vertical="center"/>
    </xf>
    <xf numFmtId="0" fontId="7" fillId="2" borderId="0" xfId="0" applyFont="1" applyFill="1" applyAlignment="1">
      <alignment horizontal="left" vertical="center" indent="4"/>
    </xf>
    <xf numFmtId="3" fontId="7" fillId="2" borderId="3" xfId="1" applyNumberFormat="1" applyFont="1" applyFill="1" applyBorder="1" applyAlignment="1">
      <alignment horizontal="right" vertical="center"/>
    </xf>
    <xf numFmtId="0" fontId="18" fillId="23" borderId="2" xfId="0" applyFont="1" applyFill="1" applyBorder="1" applyAlignment="1">
      <alignment horizontal="center" vertical="center"/>
    </xf>
    <xf numFmtId="14" fontId="11" fillId="23" borderId="2" xfId="0" applyNumberFormat="1" applyFont="1" applyFill="1" applyBorder="1" applyAlignment="1">
      <alignment horizontal="center" vertical="center"/>
    </xf>
    <xf numFmtId="14" fontId="18" fillId="23" borderId="2" xfId="0" applyNumberFormat="1" applyFont="1" applyFill="1" applyBorder="1" applyAlignment="1">
      <alignment horizontal="center" vertical="center"/>
    </xf>
    <xf numFmtId="3" fontId="18" fillId="23" borderId="2" xfId="0" applyNumberFormat="1" applyFont="1" applyFill="1" applyBorder="1" applyAlignment="1">
      <alignment horizontal="center" vertical="center"/>
    </xf>
    <xf numFmtId="0" fontId="18" fillId="0" borderId="2" xfId="0" applyFont="1" applyBorder="1" applyAlignment="1">
      <alignment horizontal="center" vertical="center"/>
    </xf>
    <xf numFmtId="10" fontId="11" fillId="0" borderId="0" xfId="2" applyNumberFormat="1" applyFont="1" applyFill="1" applyAlignment="1">
      <alignment horizontal="right" vertical="center" indent="2"/>
    </xf>
    <xf numFmtId="14" fontId="18" fillId="0" borderId="0" xfId="1" applyNumberFormat="1" applyFont="1" applyFill="1" applyBorder="1" applyAlignment="1">
      <alignment horizontal="center" vertical="center"/>
    </xf>
    <xf numFmtId="3" fontId="18" fillId="0" borderId="3" xfId="1" applyNumberFormat="1" applyFont="1" applyFill="1" applyBorder="1" applyAlignment="1">
      <alignment horizontal="right" vertical="center"/>
    </xf>
    <xf numFmtId="3" fontId="11" fillId="0" borderId="0" xfId="1" applyNumberFormat="1" applyFont="1" applyFill="1" applyBorder="1" applyAlignment="1">
      <alignment horizontal="right" vertical="center"/>
    </xf>
    <xf numFmtId="3" fontId="9" fillId="0" borderId="0" xfId="1" applyNumberFormat="1" applyFont="1" applyFill="1" applyBorder="1" applyAlignment="1">
      <alignment horizontal="right" vertical="center"/>
    </xf>
    <xf numFmtId="0" fontId="18" fillId="17" borderId="2" xfId="0" applyFont="1" applyFill="1" applyBorder="1" applyAlignment="1">
      <alignment horizontal="center" vertical="center"/>
    </xf>
    <xf numFmtId="0" fontId="18" fillId="2" borderId="0" xfId="0" applyFont="1" applyFill="1" applyAlignment="1">
      <alignment horizontal="center" vertical="center"/>
    </xf>
    <xf numFmtId="0" fontId="18" fillId="17" borderId="0" xfId="0" applyFont="1" applyFill="1" applyAlignment="1">
      <alignment horizontal="center" vertical="center"/>
    </xf>
    <xf numFmtId="0" fontId="18" fillId="20" borderId="2" xfId="0" applyFont="1" applyFill="1" applyBorder="1" applyAlignment="1">
      <alignment horizontal="center" vertical="center"/>
    </xf>
    <xf numFmtId="0" fontId="18" fillId="21" borderId="2" xfId="0" applyFont="1" applyFill="1" applyBorder="1" applyAlignment="1">
      <alignment horizontal="center" vertical="center"/>
    </xf>
    <xf numFmtId="0" fontId="18" fillId="22" borderId="2" xfId="0" applyFont="1" applyFill="1" applyBorder="1" applyAlignment="1">
      <alignment horizontal="center" vertical="center"/>
    </xf>
    <xf numFmtId="3" fontId="18" fillId="0" borderId="0" xfId="0" applyNumberFormat="1" applyFont="1" applyAlignment="1">
      <alignment horizontal="center" vertical="center"/>
    </xf>
    <xf numFmtId="3" fontId="6" fillId="2" borderId="2" xfId="0" applyNumberFormat="1" applyFont="1" applyFill="1" applyBorder="1" applyAlignment="1">
      <alignment horizontal="right" vertical="center"/>
    </xf>
    <xf numFmtId="10" fontId="10" fillId="0" borderId="0" xfId="2" applyNumberFormat="1" applyFont="1" applyFill="1" applyBorder="1" applyAlignment="1">
      <alignment horizontal="right" vertical="center" indent="2"/>
    </xf>
    <xf numFmtId="0" fontId="18" fillId="22" borderId="0" xfId="0" applyFont="1" applyFill="1" applyAlignment="1">
      <alignment horizontal="center" vertical="center"/>
    </xf>
    <xf numFmtId="14" fontId="18" fillId="22" borderId="0" xfId="0" applyNumberFormat="1" applyFont="1" applyFill="1" applyAlignment="1">
      <alignment horizontal="left" vertical="center" indent="4"/>
    </xf>
    <xf numFmtId="14" fontId="0" fillId="22" borderId="0" xfId="0" applyNumberFormat="1" applyFill="1" applyAlignment="1">
      <alignment horizontal="center" vertical="center"/>
    </xf>
    <xf numFmtId="14" fontId="18" fillId="22" borderId="0" xfId="0" applyNumberFormat="1" applyFont="1" applyFill="1" applyAlignment="1">
      <alignment horizontal="left" vertical="center"/>
    </xf>
    <xf numFmtId="14" fontId="9" fillId="22" borderId="0" xfId="0" applyNumberFormat="1" applyFont="1" applyFill="1" applyAlignment="1">
      <alignment horizontal="center" vertical="center"/>
    </xf>
    <xf numFmtId="3" fontId="9" fillId="22" borderId="3" xfId="0" applyNumberFormat="1" applyFont="1" applyFill="1" applyBorder="1" applyAlignment="1">
      <alignment horizontal="right" vertical="center"/>
    </xf>
    <xf numFmtId="3" fontId="9" fillId="22" borderId="0" xfId="0" applyNumberFormat="1" applyFont="1" applyFill="1" applyAlignment="1">
      <alignment horizontal="center" vertical="center"/>
    </xf>
    <xf numFmtId="14" fontId="9" fillId="22" borderId="0" xfId="0" applyNumberFormat="1" applyFont="1" applyFill="1" applyAlignment="1">
      <alignment horizontal="left" vertical="center"/>
    </xf>
    <xf numFmtId="0" fontId="11" fillId="2" borderId="0" xfId="0" applyFont="1" applyFill="1" applyAlignment="1">
      <alignment horizontal="center" vertical="center"/>
    </xf>
    <xf numFmtId="0" fontId="22" fillId="0" borderId="0" xfId="0" applyFont="1" applyAlignment="1">
      <alignment horizontal="center" vertical="center"/>
    </xf>
    <xf numFmtId="3" fontId="22" fillId="0" borderId="0" xfId="1" applyNumberFormat="1" applyFont="1" applyFill="1" applyBorder="1" applyAlignment="1">
      <alignment horizontal="center" vertical="center"/>
    </xf>
    <xf numFmtId="3" fontId="22" fillId="0" borderId="3" xfId="1" applyNumberFormat="1" applyFont="1" applyFill="1" applyBorder="1" applyAlignment="1">
      <alignment horizontal="right" vertical="center"/>
    </xf>
    <xf numFmtId="3" fontId="12" fillId="0" borderId="0" xfId="1" applyNumberFormat="1" applyFont="1" applyFill="1" applyBorder="1" applyAlignment="1">
      <alignment horizontal="center" vertical="center"/>
    </xf>
    <xf numFmtId="10" fontId="22" fillId="0" borderId="0" xfId="2" applyNumberFormat="1" applyFont="1" applyFill="1" applyAlignment="1">
      <alignment horizontal="right" vertical="center" indent="2"/>
    </xf>
    <xf numFmtId="164" fontId="18" fillId="23" borderId="2" xfId="1" applyNumberFormat="1" applyFont="1" applyFill="1" applyBorder="1" applyAlignment="1">
      <alignment vertical="center"/>
    </xf>
    <xf numFmtId="3" fontId="18" fillId="23" borderId="2" xfId="1" applyNumberFormat="1" applyFont="1" applyFill="1" applyBorder="1" applyAlignment="1">
      <alignment horizontal="center" vertical="center"/>
    </xf>
    <xf numFmtId="164" fontId="18" fillId="23" borderId="2" xfId="1" applyNumberFormat="1" applyFont="1" applyFill="1" applyBorder="1" applyAlignment="1">
      <alignment horizontal="center" vertical="center"/>
    </xf>
    <xf numFmtId="14" fontId="18" fillId="23" borderId="2" xfId="1" applyNumberFormat="1" applyFont="1" applyFill="1" applyBorder="1" applyAlignment="1">
      <alignment horizontal="center" vertical="center"/>
    </xf>
    <xf numFmtId="14" fontId="18" fillId="23" borderId="2" xfId="1" applyNumberFormat="1" applyFont="1" applyFill="1" applyBorder="1" applyAlignment="1">
      <alignment horizontal="left" vertical="center"/>
    </xf>
    <xf numFmtId="0" fontId="12" fillId="0" borderId="0" xfId="0" applyFont="1" applyAlignment="1">
      <alignment horizontal="center" vertical="center"/>
    </xf>
    <xf numFmtId="0" fontId="12" fillId="0" borderId="0" xfId="0" applyFont="1" applyAlignment="1">
      <alignment horizontal="left" vertical="center" indent="4"/>
    </xf>
    <xf numFmtId="3" fontId="12" fillId="0" borderId="3" xfId="1" applyNumberFormat="1" applyFont="1" applyFill="1" applyBorder="1" applyAlignment="1">
      <alignment horizontal="right" vertical="center"/>
    </xf>
    <xf numFmtId="3" fontId="12" fillId="0" borderId="2" xfId="0" applyNumberFormat="1" applyFont="1" applyBorder="1" applyAlignment="1">
      <alignment horizontal="right" vertical="center"/>
    </xf>
    <xf numFmtId="3" fontId="12" fillId="0" borderId="2" xfId="0" applyNumberFormat="1" applyFont="1" applyBorder="1" applyAlignment="1">
      <alignment horizontal="center" vertical="center"/>
    </xf>
    <xf numFmtId="10" fontId="22" fillId="0" borderId="0" xfId="2" applyNumberFormat="1" applyFont="1" applyFill="1" applyBorder="1" applyAlignment="1">
      <alignment horizontal="right" vertical="center" indent="2"/>
    </xf>
    <xf numFmtId="3" fontId="6" fillId="2" borderId="0" xfId="0" applyNumberFormat="1" applyFont="1" applyFill="1" applyAlignment="1">
      <alignment horizontal="right" vertical="center"/>
    </xf>
    <xf numFmtId="164" fontId="11" fillId="12" borderId="2" xfId="1" applyNumberFormat="1" applyFont="1" applyFill="1" applyBorder="1" applyAlignment="1">
      <alignment vertical="center"/>
    </xf>
    <xf numFmtId="0" fontId="11" fillId="10" borderId="2" xfId="0" applyFont="1" applyFill="1" applyBorder="1" applyAlignment="1">
      <alignment vertical="center"/>
    </xf>
    <xf numFmtId="3" fontId="11" fillId="0" borderId="3" xfId="0" applyNumberFormat="1" applyFont="1" applyBorder="1" applyAlignment="1">
      <alignment vertical="center"/>
    </xf>
    <xf numFmtId="0" fontId="20" fillId="2" borderId="0" xfId="0" applyFont="1" applyFill="1" applyAlignment="1">
      <alignment horizontal="center" vertical="center"/>
    </xf>
    <xf numFmtId="0" fontId="20" fillId="2" borderId="0" xfId="0" applyFont="1" applyFill="1" applyAlignment="1">
      <alignment horizontal="left" vertical="center" indent="1"/>
    </xf>
    <xf numFmtId="164" fontId="11" fillId="0" borderId="0" xfId="1" applyNumberFormat="1" applyFont="1" applyFill="1" applyAlignment="1">
      <alignment vertical="center"/>
    </xf>
    <xf numFmtId="0" fontId="6" fillId="2" borderId="0" xfId="0" applyFont="1" applyFill="1" applyAlignment="1">
      <alignment horizontal="center" vertical="center"/>
    </xf>
    <xf numFmtId="0" fontId="10" fillId="2" borderId="0" xfId="0" applyFont="1" applyFill="1" applyAlignment="1">
      <alignment horizontal="center" vertical="center"/>
    </xf>
    <xf numFmtId="14" fontId="11" fillId="0" borderId="0" xfId="1" applyNumberFormat="1" applyFont="1" applyFill="1" applyBorder="1" applyAlignment="1">
      <alignment horizontal="left" vertical="center"/>
    </xf>
    <xf numFmtId="164" fontId="6" fillId="0" borderId="0" xfId="1" applyNumberFormat="1" applyFont="1" applyAlignment="1">
      <alignment horizontal="right"/>
    </xf>
    <xf numFmtId="164" fontId="2" fillId="19" borderId="9" xfId="1" applyNumberFormat="1" applyFont="1" applyFill="1" applyBorder="1" applyAlignment="1">
      <alignment horizontal="right" vertical="center" wrapText="1"/>
    </xf>
    <xf numFmtId="3" fontId="27" fillId="17" borderId="2" xfId="0" applyNumberFormat="1" applyFont="1" applyFill="1" applyBorder="1" applyAlignment="1">
      <alignment horizontal="right" vertical="center"/>
    </xf>
    <xf numFmtId="3" fontId="4" fillId="0" borderId="0" xfId="0" applyNumberFormat="1" applyFont="1" applyAlignment="1">
      <alignment horizontal="right" vertical="center"/>
    </xf>
    <xf numFmtId="3" fontId="27" fillId="17" borderId="0" xfId="0" applyNumberFormat="1" applyFont="1" applyFill="1" applyAlignment="1">
      <alignment horizontal="right" vertical="center"/>
    </xf>
    <xf numFmtId="3" fontId="18" fillId="0" borderId="0" xfId="0" applyNumberFormat="1" applyFont="1" applyAlignment="1">
      <alignment horizontal="right" vertical="center"/>
    </xf>
    <xf numFmtId="3" fontId="12" fillId="0" borderId="0" xfId="0" applyNumberFormat="1" applyFont="1" applyAlignment="1">
      <alignment horizontal="right" vertical="center"/>
    </xf>
    <xf numFmtId="3" fontId="27" fillId="0" borderId="0" xfId="0" applyNumberFormat="1" applyFont="1" applyAlignment="1">
      <alignment horizontal="right" vertical="center"/>
    </xf>
    <xf numFmtId="3" fontId="7" fillId="0" borderId="0" xfId="0" applyNumberFormat="1" applyFont="1" applyAlignment="1">
      <alignment horizontal="right" vertical="center"/>
    </xf>
    <xf numFmtId="3" fontId="28" fillId="0" borderId="0" xfId="0" applyNumberFormat="1" applyFont="1" applyAlignment="1">
      <alignment horizontal="right" vertical="center"/>
    </xf>
    <xf numFmtId="3" fontId="3" fillId="0" borderId="0" xfId="0" applyNumberFormat="1" applyFont="1" applyAlignment="1">
      <alignment horizontal="right" vertical="center"/>
    </xf>
    <xf numFmtId="3" fontId="27" fillId="20" borderId="2" xfId="0" applyNumberFormat="1" applyFont="1" applyFill="1" applyBorder="1" applyAlignment="1">
      <alignment horizontal="right" vertical="center"/>
    </xf>
    <xf numFmtId="3" fontId="11" fillId="0" borderId="0" xfId="0" applyNumberFormat="1" applyFont="1" applyAlignment="1">
      <alignment horizontal="right" vertical="center"/>
    </xf>
    <xf numFmtId="3" fontId="7" fillId="0" borderId="0" xfId="1" applyNumberFormat="1" applyFont="1" applyFill="1" applyBorder="1" applyAlignment="1">
      <alignment horizontal="right" vertical="center"/>
    </xf>
    <xf numFmtId="3" fontId="27" fillId="12" borderId="2" xfId="0" applyNumberFormat="1" applyFont="1" applyFill="1" applyBorder="1" applyAlignment="1">
      <alignment horizontal="right" vertical="center"/>
    </xf>
    <xf numFmtId="3" fontId="27" fillId="0" borderId="0" xfId="1" applyNumberFormat="1" applyFont="1" applyFill="1" applyBorder="1" applyAlignment="1">
      <alignment horizontal="right" vertical="center"/>
    </xf>
    <xf numFmtId="3" fontId="18" fillId="23" borderId="2" xfId="0" applyNumberFormat="1" applyFont="1" applyFill="1" applyBorder="1" applyAlignment="1">
      <alignment horizontal="right" vertical="center"/>
    </xf>
    <xf numFmtId="3" fontId="18" fillId="23" borderId="2" xfId="1" applyNumberFormat="1" applyFont="1" applyFill="1" applyBorder="1" applyAlignment="1">
      <alignment horizontal="right" vertical="center"/>
    </xf>
    <xf numFmtId="3" fontId="9" fillId="0" borderId="0" xfId="0" applyNumberFormat="1" applyFont="1" applyAlignment="1">
      <alignment horizontal="right" vertical="center"/>
    </xf>
    <xf numFmtId="3" fontId="27" fillId="21" borderId="2" xfId="0" applyNumberFormat="1" applyFont="1" applyFill="1" applyBorder="1" applyAlignment="1">
      <alignment horizontal="right" vertical="center"/>
    </xf>
    <xf numFmtId="3" fontId="27" fillId="22" borderId="2" xfId="0" applyNumberFormat="1" applyFont="1" applyFill="1" applyBorder="1" applyAlignment="1">
      <alignment horizontal="right" vertical="center"/>
    </xf>
    <xf numFmtId="3" fontId="27" fillId="22" borderId="0" xfId="0" applyNumberFormat="1" applyFont="1" applyFill="1" applyAlignment="1">
      <alignment horizontal="right" vertical="center"/>
    </xf>
    <xf numFmtId="3" fontId="27" fillId="0" borderId="2" xfId="0" applyNumberFormat="1" applyFont="1" applyBorder="1" applyAlignment="1">
      <alignment horizontal="right" vertical="center"/>
    </xf>
    <xf numFmtId="3" fontId="0" fillId="0" borderId="0" xfId="1" applyNumberFormat="1" applyFont="1" applyFill="1" applyBorder="1" applyAlignment="1">
      <alignment horizontal="right" vertical="center"/>
    </xf>
    <xf numFmtId="164" fontId="10" fillId="0" borderId="0" xfId="0" applyNumberFormat="1" applyFont="1" applyAlignment="1">
      <alignment horizontal="right"/>
    </xf>
    <xf numFmtId="0" fontId="6" fillId="2" borderId="2" xfId="0" applyFont="1" applyFill="1" applyBorder="1" applyAlignment="1">
      <alignment horizontal="center" vertical="center"/>
    </xf>
    <xf numFmtId="164" fontId="18" fillId="0" borderId="3" xfId="1" applyNumberFormat="1" applyFont="1" applyFill="1" applyBorder="1" applyAlignment="1">
      <alignment vertical="center"/>
    </xf>
    <xf numFmtId="164" fontId="25" fillId="0" borderId="3" xfId="0" applyNumberFormat="1" applyFont="1" applyBorder="1" applyAlignment="1">
      <alignment vertical="center"/>
    </xf>
    <xf numFmtId="164" fontId="0" fillId="0" borderId="0" xfId="1" applyNumberFormat="1" applyFont="1" applyFill="1" applyBorder="1"/>
    <xf numFmtId="43" fontId="0" fillId="0" borderId="0" xfId="1" applyFont="1" applyFill="1" applyBorder="1"/>
    <xf numFmtId="165" fontId="5" fillId="0" borderId="0" xfId="1" applyNumberFormat="1" applyFont="1" applyFill="1" applyBorder="1"/>
    <xf numFmtId="10" fontId="0" fillId="0" borderId="0" xfId="2" applyNumberFormat="1" applyFont="1" applyFill="1" applyAlignment="1">
      <alignment horizontal="right" indent="2"/>
    </xf>
    <xf numFmtId="0" fontId="6" fillId="0" borderId="0" xfId="0" applyFont="1" applyAlignment="1">
      <alignment horizontal="left" vertical="center" indent="4"/>
    </xf>
    <xf numFmtId="3" fontId="46" fillId="0" borderId="0" xfId="1" applyNumberFormat="1" applyFont="1" applyFill="1" applyBorder="1" applyAlignment="1">
      <alignment horizontal="right" vertical="center"/>
    </xf>
    <xf numFmtId="14" fontId="12" fillId="0" borderId="0" xfId="0" applyNumberFormat="1" applyFont="1" applyAlignment="1">
      <alignment horizontal="left" vertical="center"/>
    </xf>
    <xf numFmtId="0" fontId="3" fillId="0" borderId="0" xfId="0" applyFont="1" applyAlignment="1">
      <alignment horizontal="left" vertical="center" indent="1"/>
    </xf>
    <xf numFmtId="10" fontId="3" fillId="0" borderId="0" xfId="2" applyNumberFormat="1" applyFont="1" applyFill="1" applyAlignment="1">
      <alignment horizontal="right" vertical="center" indent="2"/>
    </xf>
    <xf numFmtId="0" fontId="47" fillId="0" borderId="0" xfId="0" applyFont="1" applyAlignment="1">
      <alignment horizontal="center" vertical="center"/>
    </xf>
    <xf numFmtId="164" fontId="10" fillId="2" borderId="3" xfId="1" applyNumberFormat="1" applyFont="1" applyFill="1" applyBorder="1" applyAlignment="1">
      <alignment vertical="center"/>
    </xf>
    <xf numFmtId="164" fontId="6" fillId="2" borderId="3" xfId="2" applyNumberFormat="1" applyFont="1" applyFill="1" applyBorder="1" applyAlignment="1">
      <alignment horizontal="right" vertical="center" indent="2"/>
    </xf>
    <xf numFmtId="164" fontId="6" fillId="2" borderId="3" xfId="1" applyNumberFormat="1" applyFont="1" applyFill="1" applyBorder="1" applyAlignment="1">
      <alignment horizontal="center" vertical="center"/>
    </xf>
    <xf numFmtId="3" fontId="6" fillId="2" borderId="3" xfId="1" applyNumberFormat="1" applyFont="1" applyFill="1" applyBorder="1" applyAlignment="1">
      <alignment vertical="center"/>
    </xf>
    <xf numFmtId="164" fontId="6" fillId="2" borderId="3" xfId="0" applyNumberFormat="1" applyFont="1" applyFill="1" applyBorder="1" applyAlignment="1">
      <alignment vertical="center"/>
    </xf>
    <xf numFmtId="0" fontId="6" fillId="2" borderId="3" xfId="0" applyFont="1" applyFill="1" applyBorder="1" applyAlignment="1">
      <alignment horizontal="left" vertical="center" indent="5"/>
    </xf>
    <xf numFmtId="3" fontId="7" fillId="0" borderId="3" xfId="0" applyNumberFormat="1" applyFont="1" applyBorder="1" applyAlignment="1">
      <alignment vertical="center"/>
    </xf>
    <xf numFmtId="3" fontId="0" fillId="0" borderId="3" xfId="1" applyNumberFormat="1" applyFont="1" applyFill="1" applyBorder="1" applyAlignment="1">
      <alignment vertical="center"/>
    </xf>
    <xf numFmtId="3" fontId="7" fillId="0" borderId="3" xfId="1" applyNumberFormat="1" applyFont="1" applyFill="1" applyBorder="1" applyAlignment="1">
      <alignment vertical="center"/>
    </xf>
    <xf numFmtId="3" fontId="13" fillId="0" borderId="3" xfId="1" applyNumberFormat="1" applyFont="1" applyFill="1" applyBorder="1" applyAlignment="1">
      <alignment vertical="center"/>
    </xf>
    <xf numFmtId="3" fontId="9" fillId="0" borderId="3" xfId="0" applyNumberFormat="1" applyFont="1" applyBorder="1" applyAlignment="1">
      <alignment horizontal="left" vertical="center"/>
    </xf>
    <xf numFmtId="164" fontId="10" fillId="0" borderId="3" xfId="1" applyNumberFormat="1" applyFont="1" applyFill="1" applyBorder="1" applyAlignment="1">
      <alignment horizontal="center" vertical="center"/>
    </xf>
    <xf numFmtId="3" fontId="6" fillId="0" borderId="3" xfId="1" applyNumberFormat="1" applyFont="1" applyFill="1" applyBorder="1" applyAlignment="1">
      <alignment vertical="center"/>
    </xf>
    <xf numFmtId="10" fontId="0" fillId="0" borderId="3" xfId="2" applyNumberFormat="1" applyFont="1" applyBorder="1" applyAlignment="1">
      <alignment horizontal="right" vertical="center" indent="2"/>
    </xf>
    <xf numFmtId="0" fontId="13" fillId="0" borderId="3" xfId="0" applyFont="1" applyBorder="1" applyAlignment="1">
      <alignment vertical="center"/>
    </xf>
    <xf numFmtId="3" fontId="22" fillId="0" borderId="3" xfId="1" applyNumberFormat="1" applyFont="1" applyFill="1" applyBorder="1" applyAlignment="1">
      <alignment vertical="center"/>
    </xf>
    <xf numFmtId="3" fontId="25" fillId="0" borderId="3" xfId="1" applyNumberFormat="1" applyFont="1" applyFill="1" applyBorder="1" applyAlignment="1">
      <alignment vertical="center"/>
    </xf>
    <xf numFmtId="164" fontId="25" fillId="0" borderId="3" xfId="0" applyNumberFormat="1" applyFont="1" applyBorder="1" applyAlignment="1">
      <alignment horizontal="center" vertical="center"/>
    </xf>
    <xf numFmtId="14" fontId="25" fillId="0" borderId="3" xfId="0" applyNumberFormat="1" applyFont="1" applyBorder="1" applyAlignment="1">
      <alignment horizontal="center" vertical="center"/>
    </xf>
    <xf numFmtId="164" fontId="10" fillId="0" borderId="3" xfId="0" applyNumberFormat="1" applyFont="1" applyBorder="1" applyAlignment="1">
      <alignment vertical="center"/>
    </xf>
    <xf numFmtId="3" fontId="0" fillId="0" borderId="3" xfId="0" applyNumberFormat="1" applyBorder="1" applyAlignment="1">
      <alignment vertical="center"/>
    </xf>
    <xf numFmtId="164" fontId="10" fillId="0" borderId="3" xfId="0" applyNumberFormat="1" applyFont="1" applyBorder="1" applyAlignment="1">
      <alignment horizontal="center" vertical="center"/>
    </xf>
    <xf numFmtId="3" fontId="25" fillId="0" borderId="3" xfId="0" applyNumberFormat="1" applyFont="1" applyBorder="1" applyAlignment="1">
      <alignment vertical="center"/>
    </xf>
    <xf numFmtId="164" fontId="7" fillId="2" borderId="3" xfId="1" applyNumberFormat="1" applyFont="1" applyFill="1" applyBorder="1" applyAlignment="1">
      <alignment vertical="center"/>
    </xf>
    <xf numFmtId="3" fontId="6" fillId="0" borderId="3" xfId="0" applyNumberFormat="1" applyFont="1" applyBorder="1" applyAlignment="1">
      <alignment vertical="center"/>
    </xf>
    <xf numFmtId="164" fontId="22" fillId="0" borderId="3" xfId="0" applyNumberFormat="1" applyFont="1" applyBorder="1" applyAlignment="1">
      <alignment vertical="center"/>
    </xf>
    <xf numFmtId="0" fontId="11" fillId="0" borderId="3" xfId="0" applyFont="1" applyBorder="1" applyAlignment="1">
      <alignment vertical="center"/>
    </xf>
    <xf numFmtId="164" fontId="0" fillId="0" borderId="3" xfId="0" applyNumberFormat="1" applyBorder="1" applyAlignment="1">
      <alignment vertical="center"/>
    </xf>
    <xf numFmtId="3" fontId="22" fillId="0" borderId="3" xfId="0" applyNumberFormat="1" applyFont="1" applyBorder="1" applyAlignment="1">
      <alignment vertical="center"/>
    </xf>
    <xf numFmtId="164" fontId="1" fillId="0" borderId="3" xfId="1" applyNumberFormat="1" applyFont="1" applyFill="1" applyBorder="1" applyAlignment="1">
      <alignment vertical="center"/>
    </xf>
    <xf numFmtId="164" fontId="7" fillId="0" borderId="3" xfId="0" applyNumberFormat="1" applyFont="1" applyBorder="1" applyAlignment="1">
      <alignment horizontal="center" vertical="center"/>
    </xf>
    <xf numFmtId="164" fontId="0" fillId="0" borderId="3" xfId="0" applyNumberFormat="1" applyBorder="1" applyAlignment="1">
      <alignment horizontal="right" vertical="center" indent="2"/>
    </xf>
    <xf numFmtId="0" fontId="0" fillId="0" borderId="3" xfId="0" applyBorder="1"/>
    <xf numFmtId="164" fontId="7" fillId="0" borderId="3" xfId="1" applyNumberFormat="1" applyFont="1" applyFill="1" applyBorder="1" applyAlignment="1">
      <alignment horizontal="center" vertical="center"/>
    </xf>
    <xf numFmtId="164" fontId="7" fillId="0" borderId="3" xfId="0" applyNumberFormat="1" applyFont="1" applyBorder="1" applyAlignment="1">
      <alignment vertical="center"/>
    </xf>
    <xf numFmtId="0" fontId="4" fillId="0" borderId="3" xfId="0" applyFont="1" applyBorder="1" applyAlignment="1">
      <alignment horizontal="center" vertical="center"/>
    </xf>
    <xf numFmtId="164" fontId="0" fillId="0" borderId="3" xfId="1" applyNumberFormat="1" applyFont="1" applyFill="1" applyBorder="1" applyAlignment="1">
      <alignment horizontal="center" vertical="center"/>
    </xf>
    <xf numFmtId="164" fontId="6" fillId="2" borderId="3" xfId="0" applyNumberFormat="1" applyFont="1" applyFill="1" applyBorder="1" applyAlignment="1">
      <alignment horizontal="center" vertical="center"/>
    </xf>
    <xf numFmtId="3" fontId="46" fillId="0" borderId="3" xfId="0" applyNumberFormat="1" applyFont="1" applyBorder="1" applyAlignment="1">
      <alignment vertical="center"/>
    </xf>
    <xf numFmtId="164" fontId="4" fillId="0" borderId="3" xfId="1" applyNumberFormat="1" applyFont="1" applyFill="1" applyBorder="1" applyAlignment="1">
      <alignment vertical="center"/>
    </xf>
    <xf numFmtId="164" fontId="6" fillId="0" borderId="3" xfId="1" applyNumberFormat="1" applyFont="1" applyFill="1" applyBorder="1" applyAlignment="1">
      <alignment horizontal="center" vertical="center"/>
    </xf>
    <xf numFmtId="0" fontId="4" fillId="0" borderId="0" xfId="0" applyFont="1"/>
    <xf numFmtId="164" fontId="11" fillId="2" borderId="0" xfId="1" applyNumberFormat="1" applyFont="1" applyFill="1" applyBorder="1" applyAlignment="1">
      <alignment horizontal="center" vertical="center"/>
    </xf>
    <xf numFmtId="3" fontId="11" fillId="2" borderId="3" xfId="1" applyNumberFormat="1" applyFont="1" applyFill="1" applyBorder="1" applyAlignment="1">
      <alignment horizontal="right" vertical="center"/>
    </xf>
    <xf numFmtId="3" fontId="9" fillId="2" borderId="0" xfId="0" applyNumberFormat="1" applyFont="1" applyFill="1" applyAlignment="1">
      <alignment horizontal="right" vertical="center"/>
    </xf>
    <xf numFmtId="3" fontId="18" fillId="2" borderId="0" xfId="1" applyNumberFormat="1" applyFont="1" applyFill="1" applyBorder="1" applyAlignment="1">
      <alignment horizontal="center" vertical="center"/>
    </xf>
    <xf numFmtId="14" fontId="18" fillId="12" borderId="0" xfId="1" applyNumberFormat="1" applyFont="1" applyFill="1" applyBorder="1" applyAlignment="1">
      <alignment horizontal="left" vertical="center"/>
    </xf>
    <xf numFmtId="14" fontId="9" fillId="12" borderId="2" xfId="1" applyNumberFormat="1" applyFont="1" applyFill="1" applyBorder="1" applyAlignment="1">
      <alignment horizontal="center" vertical="center"/>
    </xf>
    <xf numFmtId="3" fontId="9" fillId="12" borderId="12" xfId="1" applyNumberFormat="1" applyFont="1" applyFill="1" applyBorder="1" applyAlignment="1">
      <alignment horizontal="right" vertical="center"/>
    </xf>
    <xf numFmtId="3" fontId="9" fillId="12" borderId="2" xfId="1" applyNumberFormat="1" applyFont="1" applyFill="1" applyBorder="1" applyAlignment="1">
      <alignment horizontal="center" vertical="center"/>
    </xf>
    <xf numFmtId="14" fontId="9" fillId="12" borderId="0" xfId="1" applyNumberFormat="1" applyFont="1" applyFill="1" applyBorder="1" applyAlignment="1">
      <alignment horizontal="left" vertical="center"/>
    </xf>
    <xf numFmtId="14" fontId="18" fillId="21" borderId="0" xfId="0" applyNumberFormat="1" applyFont="1" applyFill="1" applyAlignment="1">
      <alignment horizontal="left" vertical="center" indent="4"/>
    </xf>
    <xf numFmtId="14" fontId="0" fillId="21" borderId="0" xfId="0" applyNumberFormat="1" applyFill="1" applyAlignment="1">
      <alignment horizontal="center" vertical="center"/>
    </xf>
    <xf numFmtId="14" fontId="18" fillId="21" borderId="0" xfId="0" applyNumberFormat="1" applyFont="1" applyFill="1" applyAlignment="1">
      <alignment horizontal="left" vertical="center"/>
    </xf>
    <xf numFmtId="14" fontId="9" fillId="21" borderId="0" xfId="0" applyNumberFormat="1" applyFont="1" applyFill="1" applyAlignment="1">
      <alignment horizontal="center" vertical="center"/>
    </xf>
    <xf numFmtId="3" fontId="9" fillId="21" borderId="3" xfId="0" applyNumberFormat="1" applyFont="1" applyFill="1" applyBorder="1" applyAlignment="1">
      <alignment horizontal="right" vertical="center"/>
    </xf>
    <xf numFmtId="3" fontId="27" fillId="21" borderId="0" xfId="0" applyNumberFormat="1" applyFont="1" applyFill="1" applyAlignment="1">
      <alignment horizontal="right" vertical="center"/>
    </xf>
    <xf numFmtId="3" fontId="9" fillId="21" borderId="0" xfId="0" applyNumberFormat="1" applyFont="1" applyFill="1" applyAlignment="1">
      <alignment horizontal="center" vertical="center"/>
    </xf>
    <xf numFmtId="14" fontId="9" fillId="21" borderId="0" xfId="0" applyNumberFormat="1" applyFont="1" applyFill="1" applyAlignment="1">
      <alignment horizontal="left" vertical="center"/>
    </xf>
    <xf numFmtId="14" fontId="11" fillId="12" borderId="0" xfId="0" applyNumberFormat="1" applyFont="1" applyFill="1" applyAlignment="1">
      <alignment horizontal="center" vertical="center"/>
    </xf>
    <xf numFmtId="14" fontId="18" fillId="12" borderId="2" xfId="1" applyNumberFormat="1" applyFont="1" applyFill="1" applyBorder="1" applyAlignment="1">
      <alignment horizontal="left" vertical="center"/>
    </xf>
    <xf numFmtId="14" fontId="9" fillId="12" borderId="2" xfId="1" applyNumberFormat="1" applyFont="1" applyFill="1" applyBorder="1" applyAlignment="1">
      <alignment horizontal="left" vertical="center"/>
    </xf>
    <xf numFmtId="14" fontId="11" fillId="12" borderId="2" xfId="0" applyNumberFormat="1" applyFont="1" applyFill="1" applyBorder="1" applyAlignment="1">
      <alignment horizontal="center" vertical="center"/>
    </xf>
    <xf numFmtId="3" fontId="6" fillId="2" borderId="3" xfId="0" applyNumberFormat="1" applyFont="1" applyFill="1" applyBorder="1" applyAlignment="1">
      <alignment horizontal="center" vertical="center"/>
    </xf>
    <xf numFmtId="3" fontId="0" fillId="0" borderId="3" xfId="0" applyNumberFormat="1" applyBorder="1" applyAlignment="1">
      <alignment horizontal="center" vertical="center"/>
    </xf>
    <xf numFmtId="3" fontId="0" fillId="0" borderId="0" xfId="0" applyNumberFormat="1" applyAlignment="1">
      <alignment horizontal="center" vertical="center"/>
    </xf>
    <xf numFmtId="3" fontId="0" fillId="0" borderId="6" xfId="0" applyNumberFormat="1" applyBorder="1" applyAlignment="1">
      <alignment horizontal="center" vertical="center"/>
    </xf>
    <xf numFmtId="3" fontId="10" fillId="11" borderId="2" xfId="1" applyNumberFormat="1" applyFont="1" applyFill="1" applyBorder="1" applyAlignment="1">
      <alignment vertical="center"/>
    </xf>
    <xf numFmtId="3" fontId="10" fillId="11" borderId="2" xfId="1" applyNumberFormat="1" applyFont="1" applyFill="1" applyBorder="1" applyAlignment="1">
      <alignment horizontal="center" vertical="center"/>
    </xf>
    <xf numFmtId="3" fontId="10" fillId="0" borderId="0" xfId="1" applyNumberFormat="1" applyFont="1" applyFill="1" applyBorder="1" applyAlignment="1">
      <alignment vertical="center"/>
    </xf>
    <xf numFmtId="3" fontId="0" fillId="4" borderId="3" xfId="0" applyNumberFormat="1" applyFill="1" applyBorder="1" applyAlignment="1">
      <alignment horizontal="right"/>
    </xf>
    <xf numFmtId="0" fontId="22" fillId="0" borderId="0" xfId="0" applyFont="1" applyAlignment="1">
      <alignment horizontal="left" vertical="center" indent="5"/>
    </xf>
    <xf numFmtId="164" fontId="12" fillId="0" borderId="3" xfId="1" applyNumberFormat="1" applyFont="1" applyFill="1" applyBorder="1" applyAlignment="1">
      <alignment horizontal="center" vertical="center"/>
    </xf>
    <xf numFmtId="3" fontId="22" fillId="0" borderId="0" xfId="0" applyNumberFormat="1" applyFont="1"/>
    <xf numFmtId="14" fontId="18" fillId="0" borderId="0" xfId="0" applyNumberFormat="1" applyFont="1" applyAlignment="1">
      <alignment horizontal="left" vertical="center" indent="5"/>
    </xf>
    <xf numFmtId="14" fontId="0" fillId="2" borderId="0" xfId="0" applyNumberFormat="1" applyFill="1" applyAlignment="1">
      <alignment horizontal="center" vertical="center"/>
    </xf>
    <xf numFmtId="0" fontId="11" fillId="2" borderId="0" xfId="0" applyFont="1" applyFill="1" applyAlignment="1">
      <alignment vertical="center"/>
    </xf>
    <xf numFmtId="164" fontId="0" fillId="2" borderId="0" xfId="1" applyNumberFormat="1" applyFont="1" applyFill="1" applyBorder="1" applyAlignment="1">
      <alignment vertical="center"/>
    </xf>
    <xf numFmtId="164" fontId="10" fillId="2" borderId="0" xfId="1" applyNumberFormat="1" applyFont="1" applyFill="1" applyBorder="1" applyAlignment="1">
      <alignment horizontal="center" vertical="center"/>
    </xf>
    <xf numFmtId="164" fontId="13" fillId="2" borderId="3" xfId="1" applyNumberFormat="1" applyFont="1" applyFill="1" applyBorder="1" applyAlignment="1">
      <alignment vertical="center"/>
    </xf>
    <xf numFmtId="3" fontId="9" fillId="2" borderId="3" xfId="0" applyNumberFormat="1" applyFont="1" applyFill="1" applyBorder="1" applyAlignment="1">
      <alignment vertical="center"/>
    </xf>
    <xf numFmtId="164" fontId="13" fillId="2" borderId="0" xfId="1" applyNumberFormat="1" applyFont="1" applyFill="1" applyBorder="1" applyAlignment="1">
      <alignment horizontal="center" vertical="center"/>
    </xf>
    <xf numFmtId="0" fontId="29" fillId="0" borderId="0" xfId="0" applyFont="1"/>
    <xf numFmtId="164" fontId="6" fillId="0" borderId="3" xfId="2" applyNumberFormat="1" applyFont="1" applyFill="1" applyBorder="1" applyAlignment="1">
      <alignment horizontal="right" vertical="center"/>
    </xf>
    <xf numFmtId="164" fontId="0" fillId="0" borderId="3" xfId="1" applyNumberFormat="1" applyFont="1" applyFill="1" applyBorder="1" applyAlignment="1">
      <alignment horizontal="right" vertical="center"/>
    </xf>
    <xf numFmtId="0" fontId="9" fillId="17" borderId="2" xfId="0" applyFont="1" applyFill="1" applyBorder="1" applyAlignment="1">
      <alignment horizontal="center" vertical="center"/>
    </xf>
    <xf numFmtId="0" fontId="18" fillId="17" borderId="2" xfId="0" applyFont="1" applyFill="1" applyBorder="1" applyAlignment="1">
      <alignment vertical="center"/>
    </xf>
    <xf numFmtId="0" fontId="9" fillId="17" borderId="2" xfId="0" applyFont="1" applyFill="1" applyBorder="1" applyAlignment="1">
      <alignment vertical="center"/>
    </xf>
    <xf numFmtId="3" fontId="28" fillId="17" borderId="2" xfId="1" applyNumberFormat="1" applyFont="1" applyFill="1" applyBorder="1" applyAlignment="1">
      <alignment vertical="center"/>
    </xf>
    <xf numFmtId="164" fontId="10" fillId="17" borderId="2" xfId="1" applyNumberFormat="1" applyFont="1" applyFill="1" applyBorder="1" applyAlignment="1">
      <alignment horizontal="center" vertical="center"/>
    </xf>
    <xf numFmtId="0" fontId="9" fillId="24" borderId="2" xfId="0" applyFont="1" applyFill="1" applyBorder="1" applyAlignment="1">
      <alignment horizontal="center" vertical="center"/>
    </xf>
    <xf numFmtId="14" fontId="18" fillId="24" borderId="2" xfId="0" applyNumberFormat="1" applyFont="1" applyFill="1" applyBorder="1" applyAlignment="1">
      <alignment horizontal="left" vertical="center" indent="4"/>
    </xf>
    <xf numFmtId="14" fontId="0" fillId="24" borderId="2" xfId="0" applyNumberFormat="1" applyFill="1" applyBorder="1" applyAlignment="1">
      <alignment horizontal="center" vertical="center"/>
    </xf>
    <xf numFmtId="14" fontId="18" fillId="24" borderId="2" xfId="0" applyNumberFormat="1" applyFont="1" applyFill="1" applyBorder="1" applyAlignment="1">
      <alignment horizontal="left" vertical="center"/>
    </xf>
    <xf numFmtId="10" fontId="0" fillId="24" borderId="0" xfId="2" applyNumberFormat="1" applyFont="1" applyFill="1" applyAlignment="1">
      <alignment horizontal="right" vertical="center" indent="2"/>
    </xf>
    <xf numFmtId="14" fontId="9" fillId="24" borderId="2" xfId="0" applyNumberFormat="1" applyFont="1" applyFill="1" applyBorder="1" applyAlignment="1">
      <alignment horizontal="left" vertical="center"/>
    </xf>
    <xf numFmtId="3" fontId="27" fillId="24" borderId="2" xfId="0" applyNumberFormat="1" applyFont="1" applyFill="1" applyBorder="1" applyAlignment="1">
      <alignment horizontal="left" vertical="center"/>
    </xf>
    <xf numFmtId="14" fontId="9" fillId="24" borderId="2" xfId="0" applyNumberFormat="1" applyFont="1" applyFill="1" applyBorder="1" applyAlignment="1">
      <alignment horizontal="center" vertical="center"/>
    </xf>
    <xf numFmtId="10" fontId="0" fillId="2" borderId="0" xfId="2" applyNumberFormat="1" applyFont="1" applyFill="1" applyAlignment="1">
      <alignment horizontal="right" vertical="center" indent="2"/>
    </xf>
    <xf numFmtId="3" fontId="27" fillId="17" borderId="2" xfId="0" applyNumberFormat="1" applyFont="1" applyFill="1" applyBorder="1" applyAlignment="1">
      <alignment horizontal="left" vertical="center"/>
    </xf>
    <xf numFmtId="0" fontId="9" fillId="25" borderId="2" xfId="0" applyFont="1" applyFill="1" applyBorder="1" applyAlignment="1">
      <alignment horizontal="center" vertical="center"/>
    </xf>
    <xf numFmtId="14" fontId="0" fillId="25" borderId="2" xfId="0" applyNumberFormat="1" applyFill="1" applyBorder="1" applyAlignment="1">
      <alignment horizontal="center" vertical="center"/>
    </xf>
    <xf numFmtId="14" fontId="18" fillId="25" borderId="2" xfId="0" applyNumberFormat="1" applyFont="1" applyFill="1" applyBorder="1" applyAlignment="1">
      <alignment horizontal="left" vertical="center"/>
    </xf>
    <xf numFmtId="14" fontId="9" fillId="25" borderId="2" xfId="0" applyNumberFormat="1" applyFont="1" applyFill="1" applyBorder="1" applyAlignment="1">
      <alignment horizontal="left" vertical="center"/>
    </xf>
    <xf numFmtId="3" fontId="27" fillId="25" borderId="2" xfId="0" applyNumberFormat="1" applyFont="1" applyFill="1" applyBorder="1" applyAlignment="1">
      <alignment horizontal="left" vertical="center"/>
    </xf>
    <xf numFmtId="14" fontId="9" fillId="25" borderId="2" xfId="0" applyNumberFormat="1" applyFont="1" applyFill="1" applyBorder="1" applyAlignment="1">
      <alignment horizontal="center" vertical="center"/>
    </xf>
    <xf numFmtId="164" fontId="9" fillId="25" borderId="2" xfId="0" applyNumberFormat="1" applyFont="1" applyFill="1" applyBorder="1" applyAlignment="1">
      <alignment horizontal="left" vertical="center"/>
    </xf>
    <xf numFmtId="164" fontId="9" fillId="17" borderId="2" xfId="0" applyNumberFormat="1" applyFont="1" applyFill="1" applyBorder="1" applyAlignment="1">
      <alignment horizontal="left" vertical="center"/>
    </xf>
    <xf numFmtId="164" fontId="9" fillId="17" borderId="2" xfId="0" applyNumberFormat="1" applyFont="1" applyFill="1" applyBorder="1" applyAlignment="1">
      <alignment vertical="center"/>
    </xf>
    <xf numFmtId="164" fontId="12" fillId="0" borderId="3" xfId="2" applyNumberFormat="1" applyFont="1" applyFill="1" applyBorder="1" applyAlignment="1">
      <alignment horizontal="right" vertical="center" indent="2"/>
    </xf>
    <xf numFmtId="0" fontId="48" fillId="0" borderId="0" xfId="0" applyFont="1" applyAlignment="1">
      <alignment horizontal="center" vertical="center"/>
    </xf>
    <xf numFmtId="0" fontId="49" fillId="0" borderId="0" xfId="0" applyFont="1" applyAlignment="1">
      <alignment horizontal="center" vertical="center"/>
    </xf>
    <xf numFmtId="0" fontId="48" fillId="0" borderId="0" xfId="0" applyFont="1" applyAlignment="1">
      <alignment horizontal="left" vertical="center" indent="4"/>
    </xf>
    <xf numFmtId="14" fontId="48" fillId="0" borderId="0" xfId="0" applyNumberFormat="1" applyFont="1" applyAlignment="1">
      <alignment horizontal="center" vertical="center"/>
    </xf>
    <xf numFmtId="164" fontId="48" fillId="0" borderId="0" xfId="1" applyNumberFormat="1" applyFont="1" applyFill="1" applyBorder="1" applyAlignment="1">
      <alignment vertical="center"/>
    </xf>
    <xf numFmtId="10" fontId="48" fillId="0" borderId="0" xfId="2" applyNumberFormat="1" applyFont="1" applyFill="1" applyAlignment="1">
      <alignment horizontal="right" vertical="center" indent="2"/>
    </xf>
    <xf numFmtId="164" fontId="48" fillId="0" borderId="3" xfId="1" applyNumberFormat="1" applyFont="1" applyFill="1" applyBorder="1" applyAlignment="1">
      <alignment vertical="center"/>
    </xf>
    <xf numFmtId="3" fontId="49" fillId="0" borderId="3" xfId="0" applyNumberFormat="1" applyFont="1" applyBorder="1" applyAlignment="1">
      <alignment vertical="center"/>
    </xf>
    <xf numFmtId="0" fontId="48" fillId="0" borderId="0" xfId="0" applyFont="1"/>
    <xf numFmtId="3" fontId="48" fillId="0" borderId="3" xfId="1" applyNumberFormat="1" applyFont="1" applyFill="1" applyBorder="1" applyAlignment="1">
      <alignment vertical="center"/>
    </xf>
    <xf numFmtId="164" fontId="49" fillId="0" borderId="3" xfId="2" applyNumberFormat="1" applyFont="1" applyFill="1" applyBorder="1" applyAlignment="1">
      <alignment horizontal="right" vertical="center" indent="2"/>
    </xf>
    <xf numFmtId="164" fontId="48" fillId="0" borderId="3" xfId="2" applyNumberFormat="1" applyFont="1" applyFill="1" applyBorder="1" applyAlignment="1">
      <alignment horizontal="right" vertical="center" indent="2"/>
    </xf>
    <xf numFmtId="164" fontId="49" fillId="0" borderId="3" xfId="1" applyNumberFormat="1" applyFont="1" applyFill="1" applyBorder="1" applyAlignment="1">
      <alignment vertical="center"/>
    </xf>
    <xf numFmtId="0" fontId="48" fillId="0" borderId="0" xfId="0" applyFont="1" applyAlignment="1">
      <alignment horizontal="left" vertical="center" indent="5"/>
    </xf>
    <xf numFmtId="164" fontId="49" fillId="0" borderId="3" xfId="2" applyNumberFormat="1" applyFont="1" applyFill="1" applyBorder="1" applyAlignment="1">
      <alignment horizontal="right" vertical="center"/>
    </xf>
    <xf numFmtId="164" fontId="48" fillId="0" borderId="3" xfId="1" applyNumberFormat="1" applyFont="1" applyFill="1" applyBorder="1" applyAlignment="1">
      <alignment horizontal="right" vertical="center"/>
    </xf>
    <xf numFmtId="0" fontId="0" fillId="2" borderId="0" xfId="0" applyFill="1" applyAlignment="1">
      <alignment horizontal="left" vertical="center" indent="5"/>
    </xf>
    <xf numFmtId="10" fontId="0" fillId="10" borderId="8" xfId="2" applyNumberFormat="1" applyFont="1" applyFill="1" applyBorder="1" applyAlignment="1">
      <alignment horizontal="right" vertical="center" indent="2"/>
    </xf>
    <xf numFmtId="164" fontId="1" fillId="0" borderId="3" xfId="1" applyNumberFormat="1" applyFont="1" applyFill="1" applyBorder="1" applyAlignment="1">
      <alignment horizontal="right" vertical="center"/>
    </xf>
    <xf numFmtId="164" fontId="1" fillId="0" borderId="0" xfId="1" applyNumberFormat="1" applyFont="1" applyFill="1" applyBorder="1" applyAlignment="1">
      <alignment horizontal="right" vertical="center"/>
    </xf>
    <xf numFmtId="3" fontId="1" fillId="0" borderId="3" xfId="0" applyNumberFormat="1" applyFont="1" applyBorder="1" applyAlignment="1">
      <alignment horizontal="right" vertical="center"/>
    </xf>
    <xf numFmtId="3" fontId="27" fillId="12" borderId="13" xfId="0" applyNumberFormat="1" applyFont="1" applyFill="1" applyBorder="1" applyAlignment="1">
      <alignment vertical="center"/>
    </xf>
    <xf numFmtId="0" fontId="6" fillId="2" borderId="0" xfId="0" applyFont="1" applyFill="1" applyAlignment="1">
      <alignment horizontal="left" vertical="center"/>
    </xf>
    <xf numFmtId="164" fontId="11" fillId="0" borderId="0" xfId="1" applyNumberFormat="1" applyFont="1" applyFill="1" applyBorder="1" applyAlignment="1">
      <alignment horizontal="left" vertical="center"/>
    </xf>
    <xf numFmtId="0" fontId="0" fillId="12" borderId="2" xfId="0" applyFill="1" applyBorder="1" applyAlignment="1">
      <alignment horizontal="left" vertical="center"/>
    </xf>
    <xf numFmtId="0" fontId="1" fillId="0" borderId="0" xfId="0" applyFont="1" applyAlignment="1">
      <alignment horizontal="left" vertical="center"/>
    </xf>
    <xf numFmtId="0" fontId="11" fillId="0" borderId="0" xfId="0" applyFont="1" applyAlignment="1">
      <alignment horizontal="left" vertical="center"/>
    </xf>
    <xf numFmtId="0" fontId="0" fillId="10" borderId="2" xfId="0" applyFill="1" applyBorder="1" applyAlignment="1">
      <alignment horizontal="left" vertical="center"/>
    </xf>
    <xf numFmtId="0" fontId="0" fillId="0" borderId="0" xfId="0" applyAlignment="1">
      <alignment horizontal="left" vertical="center"/>
    </xf>
    <xf numFmtId="0" fontId="4" fillId="10" borderId="2" xfId="0" applyFont="1" applyFill="1" applyBorder="1" applyAlignment="1">
      <alignment horizontal="left" vertical="center"/>
    </xf>
    <xf numFmtId="0" fontId="12" fillId="0" borderId="0" xfId="0" applyFont="1" applyAlignment="1">
      <alignment horizontal="left" vertical="center"/>
    </xf>
    <xf numFmtId="3" fontId="6" fillId="2" borderId="0" xfId="0" applyNumberFormat="1" applyFont="1" applyFill="1" applyAlignment="1">
      <alignment horizontal="left" vertical="center"/>
    </xf>
    <xf numFmtId="0" fontId="0" fillId="11" borderId="2" xfId="0" applyFill="1" applyBorder="1" applyAlignment="1">
      <alignment horizontal="left" vertical="center"/>
    </xf>
    <xf numFmtId="14" fontId="1" fillId="0" borderId="0" xfId="0" applyNumberFormat="1" applyFont="1" applyAlignment="1">
      <alignment horizontal="left" vertical="center"/>
    </xf>
    <xf numFmtId="0" fontId="6" fillId="0" borderId="0" xfId="0" applyFont="1" applyAlignment="1">
      <alignment horizontal="left" vertical="center"/>
    </xf>
    <xf numFmtId="164" fontId="3" fillId="0" borderId="0" xfId="1" applyNumberFormat="1" applyFont="1" applyAlignment="1">
      <alignment horizontal="left" vertical="center"/>
    </xf>
    <xf numFmtId="164" fontId="3" fillId="0" borderId="0" xfId="0" applyNumberFormat="1" applyFont="1" applyAlignment="1">
      <alignment horizontal="left" vertical="center"/>
    </xf>
    <xf numFmtId="164" fontId="0" fillId="0" borderId="0" xfId="1" applyNumberFormat="1" applyFont="1" applyAlignment="1">
      <alignment horizontal="left" vertical="center"/>
    </xf>
    <xf numFmtId="164" fontId="10" fillId="0" borderId="0" xfId="1" applyNumberFormat="1" applyFont="1" applyAlignment="1">
      <alignment horizontal="left" vertical="center"/>
    </xf>
    <xf numFmtId="0" fontId="18" fillId="0" borderId="3" xfId="0" applyFont="1" applyBorder="1" applyAlignment="1">
      <alignment vertical="center"/>
    </xf>
    <xf numFmtId="164" fontId="9" fillId="10" borderId="3" xfId="1" applyNumberFormat="1" applyFont="1" applyFill="1" applyBorder="1" applyAlignment="1">
      <alignment horizontal="center" vertical="center" wrapText="1"/>
    </xf>
    <xf numFmtId="164" fontId="9" fillId="10" borderId="11" xfId="1" applyNumberFormat="1" applyFont="1" applyFill="1" applyBorder="1" applyAlignment="1">
      <alignment horizontal="center" vertical="center"/>
    </xf>
    <xf numFmtId="10" fontId="0" fillId="25" borderId="2" xfId="2" applyNumberFormat="1" applyFont="1" applyFill="1" applyBorder="1" applyAlignment="1">
      <alignment horizontal="right" vertical="center" indent="2"/>
    </xf>
    <xf numFmtId="0" fontId="18" fillId="25" borderId="2" xfId="0" applyFont="1" applyFill="1" applyBorder="1" applyAlignment="1">
      <alignment horizontal="center" vertical="center"/>
    </xf>
    <xf numFmtId="14" fontId="18" fillId="25" borderId="2" xfId="0" applyNumberFormat="1" applyFont="1" applyFill="1" applyBorder="1" applyAlignment="1">
      <alignment horizontal="center" vertical="center"/>
    </xf>
    <xf numFmtId="164" fontId="18" fillId="25" borderId="2" xfId="1" applyNumberFormat="1" applyFont="1" applyFill="1" applyBorder="1" applyAlignment="1">
      <alignment vertical="center"/>
    </xf>
    <xf numFmtId="10" fontId="0" fillId="17" borderId="2" xfId="2" applyNumberFormat="1" applyFont="1" applyFill="1" applyBorder="1" applyAlignment="1">
      <alignment horizontal="right" vertical="center" indent="2"/>
    </xf>
    <xf numFmtId="164" fontId="0" fillId="0" borderId="0" xfId="2" applyNumberFormat="1" applyFont="1" applyFill="1" applyAlignment="1">
      <alignment horizontal="right" vertical="center" indent="2"/>
    </xf>
    <xf numFmtId="164" fontId="9" fillId="10" borderId="0" xfId="1" applyNumberFormat="1" applyFont="1" applyFill="1" applyBorder="1" applyAlignment="1">
      <alignment horizontal="center" vertical="center" wrapText="1"/>
    </xf>
    <xf numFmtId="16" fontId="20" fillId="0" borderId="0" xfId="0" applyNumberFormat="1" applyFont="1" applyAlignment="1">
      <alignment horizontal="center" vertical="center"/>
    </xf>
    <xf numFmtId="3" fontId="12" fillId="0" borderId="3" xfId="1" applyNumberFormat="1" applyFont="1" applyFill="1" applyBorder="1" applyAlignment="1">
      <alignment vertical="center"/>
    </xf>
    <xf numFmtId="14" fontId="18" fillId="12" borderId="2" xfId="0" applyNumberFormat="1" applyFont="1" applyFill="1" applyBorder="1" applyAlignment="1">
      <alignment horizontal="left" vertical="center" indent="3"/>
    </xf>
    <xf numFmtId="0" fontId="0" fillId="0" borderId="0" xfId="0" applyAlignment="1">
      <alignment horizontal="left" vertical="center" indent="7"/>
    </xf>
    <xf numFmtId="0" fontId="18" fillId="25" borderId="2" xfId="0" applyFont="1" applyFill="1" applyBorder="1" applyAlignment="1">
      <alignment horizontal="left" vertical="center"/>
    </xf>
    <xf numFmtId="10" fontId="0" fillId="0" borderId="3" xfId="2" applyNumberFormat="1" applyFont="1" applyFill="1" applyBorder="1" applyAlignment="1">
      <alignment horizontal="right" vertical="center" indent="2"/>
    </xf>
    <xf numFmtId="0" fontId="4" fillId="0" borderId="0" xfId="0" applyFont="1" applyAlignment="1">
      <alignment horizontal="left" vertical="center"/>
    </xf>
    <xf numFmtId="14" fontId="4" fillId="2" borderId="0" xfId="0" applyNumberFormat="1" applyFont="1" applyFill="1" applyAlignment="1">
      <alignment horizontal="center" vertical="center"/>
    </xf>
    <xf numFmtId="0" fontId="4" fillId="2" borderId="0" xfId="0" applyFont="1" applyFill="1" applyAlignment="1">
      <alignment horizontal="left" vertical="center"/>
    </xf>
    <xf numFmtId="164" fontId="4" fillId="2" borderId="3" xfId="1" applyNumberFormat="1" applyFont="1" applyFill="1" applyBorder="1" applyAlignment="1">
      <alignment vertical="center"/>
    </xf>
    <xf numFmtId="3" fontId="4" fillId="2" borderId="3" xfId="0" applyNumberFormat="1" applyFont="1" applyFill="1" applyBorder="1" applyAlignment="1">
      <alignment vertical="center"/>
    </xf>
    <xf numFmtId="164" fontId="4" fillId="2" borderId="3" xfId="1" applyNumberFormat="1" applyFont="1" applyFill="1" applyBorder="1" applyAlignment="1">
      <alignment horizontal="center" vertical="center"/>
    </xf>
    <xf numFmtId="164" fontId="4" fillId="2" borderId="0" xfId="1" applyNumberFormat="1" applyFont="1" applyFill="1" applyBorder="1" applyAlignment="1">
      <alignment horizontal="center" vertical="center"/>
    </xf>
    <xf numFmtId="3" fontId="0" fillId="0" borderId="6" xfId="0" applyNumberFormat="1" applyBorder="1" applyAlignment="1">
      <alignment vertical="center"/>
    </xf>
    <xf numFmtId="164" fontId="10" fillId="0" borderId="6" xfId="0" applyNumberFormat="1" applyFont="1" applyBorder="1" applyAlignment="1">
      <alignment vertical="center"/>
    </xf>
    <xf numFmtId="0" fontId="4" fillId="0" borderId="0" xfId="0" applyFont="1" applyAlignment="1">
      <alignment horizontal="left" vertical="center" indent="7"/>
    </xf>
    <xf numFmtId="3" fontId="6" fillId="0" borderId="3" xfId="0" applyNumberFormat="1" applyFont="1" applyBorder="1" applyAlignment="1">
      <alignment horizontal="center" vertical="center"/>
    </xf>
    <xf numFmtId="0" fontId="4" fillId="0" borderId="0" xfId="0" applyFont="1" applyAlignment="1">
      <alignment horizontal="left" vertical="center" indent="8"/>
    </xf>
    <xf numFmtId="164" fontId="10" fillId="0" borderId="4" xfId="1" applyNumberFormat="1" applyFont="1" applyFill="1" applyBorder="1" applyAlignment="1">
      <alignment vertical="center"/>
    </xf>
    <xf numFmtId="0" fontId="50" fillId="0" borderId="0" xfId="0" applyFont="1" applyAlignment="1">
      <alignment horizontal="left" vertical="center"/>
    </xf>
    <xf numFmtId="164" fontId="10" fillId="0" borderId="4" xfId="0" applyNumberFormat="1" applyFont="1" applyBorder="1" applyAlignment="1">
      <alignment horizontal="center" vertical="center"/>
    </xf>
    <xf numFmtId="164" fontId="6" fillId="2" borderId="4" xfId="0" applyNumberFormat="1" applyFont="1" applyFill="1" applyBorder="1" applyAlignment="1">
      <alignment horizontal="center" vertical="center"/>
    </xf>
    <xf numFmtId="3" fontId="10" fillId="0" borderId="3" xfId="0" applyNumberFormat="1" applyFont="1" applyBorder="1" applyAlignment="1">
      <alignment vertical="center"/>
    </xf>
    <xf numFmtId="0" fontId="20" fillId="0" borderId="0" xfId="0" applyFont="1" applyAlignment="1">
      <alignment horizontal="left" vertical="center" indent="2"/>
    </xf>
    <xf numFmtId="0" fontId="0" fillId="12" borderId="0" xfId="0" applyFill="1" applyAlignment="1">
      <alignment horizontal="center" vertical="center"/>
    </xf>
    <xf numFmtId="164" fontId="6" fillId="0" borderId="0" xfId="2" applyNumberFormat="1" applyFont="1" applyFill="1" applyBorder="1" applyAlignment="1">
      <alignment horizontal="right" vertical="center"/>
    </xf>
    <xf numFmtId="164" fontId="0" fillId="0" borderId="0" xfId="1" applyNumberFormat="1" applyFont="1" applyFill="1" applyBorder="1" applyAlignment="1">
      <alignment horizontal="right" vertical="center"/>
    </xf>
    <xf numFmtId="0" fontId="0" fillId="0" borderId="0" xfId="0" applyAlignment="1">
      <alignment horizontal="left" vertical="center" indent="2"/>
    </xf>
    <xf numFmtId="0" fontId="0" fillId="0" borderId="0" xfId="0" applyAlignment="1">
      <alignment horizontal="left" vertical="center" indent="3"/>
    </xf>
    <xf numFmtId="164" fontId="6" fillId="0" borderId="6" xfId="1" applyNumberFormat="1" applyFont="1" applyFill="1" applyBorder="1" applyAlignment="1">
      <alignment vertical="center"/>
    </xf>
    <xf numFmtId="164" fontId="0" fillId="0" borderId="6" xfId="1" applyNumberFormat="1" applyFont="1" applyFill="1" applyBorder="1" applyAlignment="1">
      <alignment vertical="center"/>
    </xf>
    <xf numFmtId="3" fontId="6" fillId="0" borderId="6" xfId="0" applyNumberFormat="1" applyFont="1" applyBorder="1" applyAlignment="1">
      <alignment vertical="center"/>
    </xf>
    <xf numFmtId="164" fontId="10" fillId="0" borderId="6" xfId="1" applyNumberFormat="1" applyFont="1" applyFill="1" applyBorder="1" applyAlignment="1">
      <alignment horizontal="center" vertical="center"/>
    </xf>
    <xf numFmtId="0" fontId="51" fillId="0" borderId="0" xfId="0" applyFont="1" applyAlignment="1">
      <alignment vertical="center"/>
    </xf>
    <xf numFmtId="0" fontId="0" fillId="0" borderId="0" xfId="0" applyAlignment="1">
      <alignment horizontal="left" vertical="center" indent="8"/>
    </xf>
    <xf numFmtId="164" fontId="13" fillId="0" borderId="6" xfId="1" applyNumberFormat="1" applyFont="1" applyFill="1" applyBorder="1" applyAlignment="1">
      <alignment vertical="center"/>
    </xf>
    <xf numFmtId="3" fontId="13" fillId="0" borderId="6" xfId="1" applyNumberFormat="1" applyFont="1" applyFill="1" applyBorder="1" applyAlignment="1">
      <alignment vertical="center"/>
    </xf>
    <xf numFmtId="14" fontId="51" fillId="0" borderId="0" xfId="0" applyNumberFormat="1" applyFont="1" applyAlignment="1">
      <alignment horizontal="center" vertical="center"/>
    </xf>
    <xf numFmtId="0" fontId="51" fillId="0" borderId="0" xfId="0" applyFont="1" applyAlignment="1">
      <alignment horizontal="left" vertical="center"/>
    </xf>
    <xf numFmtId="164" fontId="11" fillId="0" borderId="6" xfId="1" applyNumberFormat="1" applyFont="1" applyFill="1" applyBorder="1" applyAlignment="1">
      <alignment vertical="center"/>
    </xf>
    <xf numFmtId="14" fontId="18" fillId="24" borderId="2" xfId="0" applyNumberFormat="1" applyFont="1" applyFill="1" applyBorder="1" applyAlignment="1">
      <alignment horizontal="left" vertical="center" indent="3"/>
    </xf>
    <xf numFmtId="0" fontId="0" fillId="24" borderId="2" xfId="0" applyFill="1" applyBorder="1" applyAlignment="1">
      <alignment horizontal="left" vertical="center"/>
    </xf>
    <xf numFmtId="164" fontId="0" fillId="24" borderId="2" xfId="1" applyNumberFormat="1" applyFont="1" applyFill="1" applyBorder="1" applyAlignment="1">
      <alignment vertical="center"/>
    </xf>
    <xf numFmtId="3" fontId="27" fillId="24" borderId="13" xfId="0" applyNumberFormat="1" applyFont="1" applyFill="1" applyBorder="1" applyAlignment="1">
      <alignment vertical="center"/>
    </xf>
    <xf numFmtId="164" fontId="10" fillId="24" borderId="2" xfId="1" applyNumberFormat="1" applyFont="1" applyFill="1" applyBorder="1" applyAlignment="1">
      <alignment vertical="center"/>
    </xf>
    <xf numFmtId="164" fontId="10" fillId="24" borderId="2" xfId="1" applyNumberFormat="1" applyFont="1" applyFill="1" applyBorder="1" applyAlignment="1">
      <alignment horizontal="center" vertical="center"/>
    </xf>
    <xf numFmtId="0" fontId="0" fillId="24" borderId="0" xfId="0" applyFill="1" applyAlignment="1">
      <alignment horizontal="center" vertical="center"/>
    </xf>
    <xf numFmtId="0" fontId="0" fillId="24" borderId="2" xfId="0" applyFill="1" applyBorder="1" applyAlignment="1">
      <alignment vertical="center"/>
    </xf>
    <xf numFmtId="3" fontId="27" fillId="24" borderId="2" xfId="0" applyNumberFormat="1" applyFont="1" applyFill="1" applyBorder="1" applyAlignment="1">
      <alignment vertical="center"/>
    </xf>
    <xf numFmtId="0" fontId="18" fillId="24" borderId="2" xfId="0" applyFont="1" applyFill="1" applyBorder="1" applyAlignment="1">
      <alignment vertical="center"/>
    </xf>
    <xf numFmtId="0" fontId="11" fillId="24" borderId="2" xfId="0" applyFont="1" applyFill="1" applyBorder="1" applyAlignment="1">
      <alignment vertical="center"/>
    </xf>
    <xf numFmtId="164" fontId="13" fillId="24" borderId="2" xfId="1" applyNumberFormat="1" applyFont="1" applyFill="1" applyBorder="1" applyAlignment="1">
      <alignment vertical="center"/>
    </xf>
    <xf numFmtId="164" fontId="28" fillId="24" borderId="2" xfId="1" applyNumberFormat="1" applyFont="1" applyFill="1" applyBorder="1" applyAlignment="1">
      <alignment vertical="center"/>
    </xf>
    <xf numFmtId="3" fontId="28" fillId="24" borderId="2" xfId="1" applyNumberFormat="1" applyFont="1" applyFill="1" applyBorder="1" applyAlignment="1">
      <alignment vertical="center"/>
    </xf>
    <xf numFmtId="164" fontId="13" fillId="24" borderId="2" xfId="1" applyNumberFormat="1" applyFont="1" applyFill="1" applyBorder="1" applyAlignment="1">
      <alignment horizontal="center" vertical="center"/>
    </xf>
    <xf numFmtId="164" fontId="11" fillId="24" borderId="2" xfId="1" applyNumberFormat="1" applyFont="1" applyFill="1" applyBorder="1" applyAlignment="1">
      <alignment vertical="center"/>
    </xf>
    <xf numFmtId="0" fontId="13" fillId="24" borderId="2" xfId="0" applyFont="1" applyFill="1" applyBorder="1" applyAlignment="1">
      <alignment vertical="center"/>
    </xf>
    <xf numFmtId="14" fontId="18" fillId="24" borderId="2" xfId="0" applyNumberFormat="1" applyFont="1" applyFill="1" applyBorder="1" applyAlignment="1">
      <alignment horizontal="center" vertical="center"/>
    </xf>
    <xf numFmtId="0" fontId="0" fillId="24" borderId="0" xfId="0" applyFill="1"/>
    <xf numFmtId="3" fontId="0" fillId="24" borderId="2" xfId="1" applyNumberFormat="1" applyFont="1" applyFill="1" applyBorder="1" applyAlignment="1">
      <alignment vertical="center"/>
    </xf>
    <xf numFmtId="164" fontId="13" fillId="24" borderId="0" xfId="1" applyNumberFormat="1" applyFont="1" applyFill="1" applyBorder="1" applyAlignment="1">
      <alignment vertical="center"/>
    </xf>
    <xf numFmtId="10" fontId="0" fillId="24" borderId="8" xfId="2" applyNumberFormat="1" applyFont="1" applyFill="1" applyBorder="1" applyAlignment="1">
      <alignment horizontal="right" vertical="center" indent="2"/>
    </xf>
    <xf numFmtId="3" fontId="0" fillId="24" borderId="2" xfId="0" applyNumberFormat="1" applyFill="1" applyBorder="1" applyAlignment="1">
      <alignment vertical="center"/>
    </xf>
    <xf numFmtId="164" fontId="10" fillId="24" borderId="2" xfId="0" applyNumberFormat="1" applyFont="1" applyFill="1" applyBorder="1" applyAlignment="1">
      <alignment vertical="center"/>
    </xf>
    <xf numFmtId="164" fontId="10" fillId="24" borderId="2" xfId="0" applyNumberFormat="1" applyFont="1" applyFill="1" applyBorder="1" applyAlignment="1">
      <alignment horizontal="center" vertical="center"/>
    </xf>
    <xf numFmtId="0" fontId="4" fillId="24" borderId="2" xfId="0" applyFont="1" applyFill="1" applyBorder="1" applyAlignment="1">
      <alignment vertical="center"/>
    </xf>
    <xf numFmtId="0" fontId="9" fillId="24" borderId="2" xfId="0" applyFont="1" applyFill="1" applyBorder="1" applyAlignment="1">
      <alignment vertical="center"/>
    </xf>
    <xf numFmtId="0" fontId="0" fillId="24" borderId="0" xfId="0" applyFill="1" applyAlignment="1">
      <alignment vertical="center"/>
    </xf>
    <xf numFmtId="0" fontId="4" fillId="24" borderId="2" xfId="0" applyFont="1" applyFill="1" applyBorder="1" applyAlignment="1">
      <alignment horizontal="left" vertical="center"/>
    </xf>
    <xf numFmtId="0" fontId="18" fillId="24" borderId="2" xfId="0" applyFont="1" applyFill="1" applyBorder="1" applyAlignment="1">
      <alignment horizontal="center" vertical="center"/>
    </xf>
    <xf numFmtId="164" fontId="6" fillId="0" borderId="3" xfId="2" applyNumberFormat="1" applyFont="1" applyFill="1" applyBorder="1" applyAlignment="1">
      <alignment horizontal="right" vertical="center" indent="2"/>
    </xf>
    <xf numFmtId="164" fontId="6" fillId="0" borderId="0" xfId="0" applyNumberFormat="1" applyFont="1" applyAlignment="1">
      <alignment horizontal="center" vertical="center"/>
    </xf>
    <xf numFmtId="164" fontId="6" fillId="0" borderId="3" xfId="0" applyNumberFormat="1" applyFont="1" applyBorder="1" applyAlignment="1">
      <alignment vertical="center"/>
    </xf>
    <xf numFmtId="164" fontId="10" fillId="0" borderId="0" xfId="1" applyNumberFormat="1" applyFont="1" applyFill="1" applyBorder="1" applyAlignment="1">
      <alignment horizontal="left" vertical="center"/>
    </xf>
    <xf numFmtId="164" fontId="10" fillId="0" borderId="4" xfId="0" applyNumberFormat="1" applyFont="1" applyBorder="1" applyAlignment="1">
      <alignment vertical="center"/>
    </xf>
    <xf numFmtId="3" fontId="9" fillId="0" borderId="3" xfId="0" applyNumberFormat="1" applyFont="1" applyBorder="1" applyAlignment="1">
      <alignment horizontal="center" vertical="center"/>
    </xf>
    <xf numFmtId="0" fontId="0" fillId="0" borderId="0" xfId="0" applyAlignment="1">
      <alignment horizontal="left" vertical="center" indent="9"/>
    </xf>
    <xf numFmtId="0" fontId="0" fillId="0" borderId="0" xfId="0" applyAlignment="1">
      <alignment horizontal="left" vertical="center" indent="10"/>
    </xf>
    <xf numFmtId="0" fontId="0" fillId="2" borderId="0" xfId="0" applyFill="1"/>
    <xf numFmtId="0" fontId="21" fillId="26" borderId="0" xfId="0" applyFont="1" applyFill="1" applyAlignment="1">
      <alignment horizontal="center" vertical="center"/>
    </xf>
    <xf numFmtId="14" fontId="52" fillId="17" borderId="2" xfId="0" applyNumberFormat="1" applyFont="1" applyFill="1" applyBorder="1" applyAlignment="1">
      <alignment horizontal="center" vertical="center"/>
    </xf>
    <xf numFmtId="0" fontId="9" fillId="17" borderId="0" xfId="0" applyFont="1" applyFill="1" applyAlignment="1">
      <alignment horizontal="center" vertical="center"/>
    </xf>
    <xf numFmtId="0" fontId="0" fillId="2" borderId="0" xfId="0" applyFill="1" applyAlignment="1">
      <alignment horizontal="left" vertical="center" indent="6"/>
    </xf>
    <xf numFmtId="10" fontId="3" fillId="2" borderId="0" xfId="2" applyNumberFormat="1" applyFont="1" applyFill="1" applyAlignment="1">
      <alignment horizontal="right" vertical="center" indent="2"/>
    </xf>
    <xf numFmtId="164" fontId="12" fillId="2" borderId="0" xfId="1" applyNumberFormat="1" applyFont="1" applyFill="1" applyBorder="1" applyAlignment="1">
      <alignment vertical="center"/>
    </xf>
    <xf numFmtId="3" fontId="13" fillId="2" borderId="0" xfId="1" applyNumberFormat="1" applyFont="1" applyFill="1" applyBorder="1" applyAlignment="1">
      <alignment vertical="center"/>
    </xf>
    <xf numFmtId="14" fontId="17" fillId="0" borderId="0" xfId="0" applyNumberFormat="1" applyFont="1" applyAlignment="1">
      <alignment horizontal="center"/>
    </xf>
    <xf numFmtId="0" fontId="29" fillId="0" borderId="0" xfId="0" applyFont="1" applyAlignment="1">
      <alignment horizontal="center"/>
    </xf>
    <xf numFmtId="0" fontId="30" fillId="14" borderId="2" xfId="0" applyFont="1" applyFill="1" applyBorder="1" applyAlignment="1">
      <alignment horizontal="center"/>
    </xf>
    <xf numFmtId="0" fontId="30" fillId="15" borderId="2" xfId="0" applyFont="1" applyFill="1" applyBorder="1" applyAlignment="1">
      <alignment horizontal="center"/>
    </xf>
    <xf numFmtId="14" fontId="17" fillId="0" borderId="0" xfId="0" applyNumberFormat="1" applyFont="1" applyAlignment="1">
      <alignment horizontal="left"/>
    </xf>
  </cellXfs>
  <cellStyles count="14">
    <cellStyle name="Bad 2" xfId="8" xr:uid="{2E29D9A3-60FE-46AA-A9B3-87EC07D6406E}"/>
    <cellStyle name="Bad 3" xfId="12" xr:uid="{A4D96468-6602-4C21-B279-24847EA2623A}"/>
    <cellStyle name="Comma" xfId="1" builtinId="3"/>
    <cellStyle name="Comma 2" xfId="4" xr:uid="{F1F8499E-FA55-47BD-8200-8F4794DE7156}"/>
    <cellStyle name="Comma 3" xfId="13" xr:uid="{AD41CEB0-C43F-4838-A78D-BE049B7E25FA}"/>
    <cellStyle name="Normal" xfId="0" builtinId="0"/>
    <cellStyle name="Normal 2" xfId="3" xr:uid="{4AF1C58A-2C0F-474C-936F-8130C0D4BF23}"/>
    <cellStyle name="Normal 2 2" xfId="6" xr:uid="{504FA72F-8C9B-4AE7-B321-D03B78D7E971}"/>
    <cellStyle name="Normal 2 2 2" xfId="7" xr:uid="{90A441FB-F807-4F59-8467-573A11C5AC39}"/>
    <cellStyle name="Normal 2 3" xfId="9" xr:uid="{983B5C04-0FFF-490F-9A63-E8A4F787C606}"/>
    <cellStyle name="Normal 3" xfId="5" xr:uid="{EAA657C9-E595-477E-8BE2-5962E8CC0889}"/>
    <cellStyle name="Normal 3 2" xfId="10" xr:uid="{D9337ED1-A649-4390-B37A-836536377225}"/>
    <cellStyle name="Normal 3 3" xfId="11" xr:uid="{7A9F0FD5-1E11-4AFC-81A0-62AEA1F84EA5}"/>
    <cellStyle name="Percent" xfId="2" builtinId="5"/>
  </cellStyles>
  <dxfs count="403">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b/>
        <i val="0"/>
        <color rgb="FFFFFF00"/>
      </font>
      <fill>
        <patternFill>
          <bgColor rgb="FFC0000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b/>
        <i val="0"/>
        <color theme="7"/>
      </font>
      <fill>
        <patternFill>
          <bgColor rgb="FF00B0F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numFmt numFmtId="14" formatCode="0.00%"/>
      <fill>
        <patternFill patternType="none">
          <fgColor indexed="64"/>
          <bgColor auto="1"/>
        </patternFill>
      </fill>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alignment horizontal="right" vertical="center" textRotation="0" wrapText="0" indent="2" justifyLastLine="0" shrinkToFit="0" readingOrder="0"/>
      <border diagonalUp="0" diagonalDown="0" outline="0">
        <left style="thin">
          <color indexed="64"/>
        </left>
        <right style="thin">
          <color indexed="64"/>
        </right>
        <top/>
        <bottom/>
      </border>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fill>
        <patternFill patternType="none">
          <fgColor rgb="FF000000"/>
          <bgColor auto="1"/>
        </patternFill>
      </fill>
      <alignment vertical="center" textRotation="0" wrapText="0" indent="0" justifyLastLine="0" shrinkToFit="0" readingOrder="0"/>
    </dxf>
    <dxf>
      <border outline="0">
        <bottom style="thin">
          <color rgb="FF000000"/>
        </bottom>
      </border>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numFmt numFmtId="14" formatCode="0.00%"/>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6"/>
        <name val="Calibri"/>
        <family val="2"/>
        <scheme val="minor"/>
      </font>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fill>
        <patternFill patternType="none">
          <fgColor rgb="FF000000"/>
          <bgColor auto="1"/>
        </patternFill>
      </fill>
      <alignment vertical="center" textRotation="0" wrapText="0" indent="0" justifyLastLine="0" shrinkToFit="0" readingOrder="0"/>
    </dxf>
    <dxf>
      <border outline="0">
        <bottom style="thin">
          <color rgb="FF000000"/>
        </bottom>
      </border>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numFmt numFmtId="14" formatCode="0.00%"/>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fill>
        <patternFill patternType="none">
          <fgColor rgb="FF000000"/>
          <bgColor auto="1"/>
        </patternFill>
      </fill>
      <alignment vertical="center" textRotation="0" wrapText="0" indent="0" justifyLastLine="0" shrinkToFit="0" readingOrder="0"/>
    </dxf>
    <dxf>
      <border outline="0">
        <bottom style="thin">
          <color rgb="FF000000"/>
        </bottom>
      </border>
    </dxf>
    <dxf>
      <numFmt numFmtId="14" formatCode="0.00%"/>
      <fill>
        <patternFill patternType="none">
          <fgColor indexed="64"/>
          <bgColor auto="1"/>
        </patternFill>
      </fill>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alignment horizontal="right" vertical="center" textRotation="0" wrapText="0" indent="2" justifyLastLine="0" shrinkToFit="0" readingOrder="0"/>
      <border diagonalUp="0" diagonalDown="0" outline="0">
        <left style="thin">
          <color indexed="64"/>
        </left>
        <right style="thin">
          <color indexed="64"/>
        </right>
        <top/>
        <bottom/>
      </border>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fill>
        <patternFill patternType="none">
          <fgColor rgb="FF000000"/>
          <bgColor auto="1"/>
        </patternFill>
      </fill>
      <alignment vertical="center" textRotation="0" wrapText="0" indent="0" justifyLastLine="0" shrinkToFit="0" readingOrder="0"/>
    </dxf>
    <dxf>
      <border outline="0">
        <bottom style="thin">
          <color rgb="FF000000"/>
        </bottom>
      </border>
    </dxf>
    <dxf>
      <border diagonalUp="0" diagonalDown="0">
        <left style="thin">
          <color indexed="64"/>
        </left>
        <right/>
        <top/>
        <bottom/>
        <vertical/>
        <horizontal/>
      </border>
    </dxf>
    <dxf>
      <border diagonalUp="0" diagonalDown="0">
        <left/>
        <right style="thin">
          <color indexed="64"/>
        </right>
        <vertical/>
      </border>
    </dxf>
    <dxf>
      <border diagonalUp="0" diagonalDown="0">
        <left style="thin">
          <color indexed="64"/>
        </left>
        <right/>
        <vertical/>
      </border>
    </dxf>
    <dxf>
      <border diagonalUp="0" diagonalDown="0">
        <left/>
        <right style="thin">
          <color indexed="64"/>
        </right>
        <top/>
        <bottom/>
        <vertical/>
        <horizontal/>
      </border>
    </dxf>
    <dxf>
      <border diagonalUp="0" diagonalDown="0">
        <left style="thin">
          <color indexed="64"/>
        </left>
        <right/>
        <top/>
        <bottom/>
        <vertical/>
        <horizontal/>
      </border>
    </dxf>
    <dxf>
      <numFmt numFmtId="19" formatCode="dd/mm/yyyy"/>
      <alignment horizontal="center" vertical="bottom" textRotation="0" wrapText="0" indent="0" justifyLastLine="0" shrinkToFit="0" readingOrder="0"/>
    </dxf>
    <dxf>
      <numFmt numFmtId="164" formatCode="_(* #,##0_);_(* \(#,##0\);_(* &quot;-&quot;??_);_(@_)"/>
    </dxf>
    <dxf>
      <alignment horizontal="center" vertical="bottom" textRotation="0" wrapText="0" indent="0" justifyLastLine="0" shrinkToFit="0" readingOrder="0"/>
    </dxf>
    <dxf>
      <font>
        <b/>
        <i val="0"/>
        <strike val="0"/>
        <condense val="0"/>
        <extend val="0"/>
        <outline val="0"/>
        <shadow val="0"/>
        <u val="none"/>
        <vertAlign val="baseline"/>
        <sz val="11"/>
        <color theme="1"/>
        <name val="Times New Roman"/>
        <family val="1"/>
        <scheme val="none"/>
      </font>
      <alignment vertical="center" textRotation="0" wrapText="0" indent="0" justifyLastLine="0" shrinkToFit="0" readingOrder="0"/>
      <border diagonalUp="0" diagonalDown="0" outline="0">
        <left style="thin">
          <color indexed="64"/>
        </left>
        <right style="thin">
          <color indexed="64"/>
        </right>
        <top/>
        <bottom/>
      </border>
    </dxf>
    <dxf>
      <numFmt numFmtId="14" formatCode="0.00%"/>
      <fill>
        <patternFill patternType="none">
          <fgColor indexed="64"/>
          <bgColor auto="1"/>
        </patternFill>
      </fill>
      <alignment horizontal="right" vertical="center" textRotation="0" wrapText="0" indent="2" justifyLastLine="0" shrinkToFit="0" readingOrder="0"/>
    </dxf>
    <dxf>
      <font>
        <b/>
        <color theme="3" tint="-0.249977111117893"/>
      </font>
      <numFmt numFmtId="19" formatCode="dd/mm/yyyy"/>
      <fill>
        <patternFill patternType="solid">
          <fgColor indexed="64"/>
          <bgColor theme="3" tint="0.59999389629810485"/>
        </patternFill>
      </fill>
      <alignment horizontal="left"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1"/>
        <color theme="3" tint="-0.249977111117893"/>
        <name val="Calibri"/>
        <family val="2"/>
        <scheme val="minor"/>
      </font>
      <numFmt numFmtId="19" formatCode="dd/mm/yyyy"/>
      <fill>
        <patternFill patternType="solid">
          <fgColor indexed="64"/>
          <bgColor theme="3" tint="0.59999389629810485"/>
        </patternFill>
      </fill>
      <alignment horizontal="center" vertical="center"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1"/>
        <color theme="3" tint="-0.249977111117893"/>
        <name val="Calibri"/>
        <family val="2"/>
        <scheme val="minor"/>
      </font>
      <numFmt numFmtId="3" formatCode="#,##0"/>
      <fill>
        <patternFill patternType="solid">
          <fgColor indexed="64"/>
          <bgColor theme="3" tint="0.59999389629810485"/>
        </patternFill>
      </fill>
      <alignment horizontal="center" vertical="center" textRotation="0" wrapText="0" indent="0" justifyLastLine="0" shrinkToFit="0" readingOrder="0"/>
      <border diagonalUp="0" diagonalDown="0" outline="0">
        <left/>
        <right/>
        <top style="thin">
          <color indexed="64"/>
        </top>
        <bottom/>
      </border>
    </dxf>
    <dxf>
      <font>
        <b/>
        <color theme="3" tint="0.39997558519241921"/>
      </font>
      <numFmt numFmtId="3" formatCode="#,##0"/>
      <fill>
        <patternFill patternType="solid">
          <fgColor indexed="64"/>
          <bgColor theme="3" tint="0.59999389629810485"/>
        </patternFill>
      </fill>
      <alignment horizontal="right" vertical="center"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1"/>
        <color theme="3" tint="-0.249977111117893"/>
        <name val="Calibri"/>
        <family val="2"/>
        <scheme val="minor"/>
      </font>
      <numFmt numFmtId="3" formatCode="#,##0"/>
      <fill>
        <patternFill patternType="solid">
          <fgColor indexed="64"/>
          <bgColor theme="3" tint="0.59999389629810485"/>
        </patternFill>
      </fill>
      <alignment horizontal="right" vertical="center" textRotation="0" wrapText="0" indent="0" justifyLastLine="0" shrinkToFit="0" readingOrder="0"/>
      <border diagonalUp="0" diagonalDown="0" outline="0">
        <left style="thin">
          <color indexed="64"/>
        </left>
        <right/>
        <top style="thin">
          <color indexed="64"/>
        </top>
        <bottom/>
      </border>
    </dxf>
    <dxf>
      <font>
        <b/>
        <color theme="3" tint="-0.249977111117893"/>
      </font>
      <numFmt numFmtId="19" formatCode="dd/mm/yyyy"/>
      <fill>
        <patternFill patternType="solid">
          <fgColor indexed="64"/>
          <bgColor theme="3" tint="0.59999389629810485"/>
        </patternFill>
      </fill>
      <alignment horizontal="center" vertical="center" textRotation="0" wrapText="0" indent="0" justifyLastLine="0" shrinkToFit="0" readingOrder="0"/>
      <border diagonalUp="0" diagonalDown="0" outline="0">
        <left/>
        <right/>
        <top style="thin">
          <color indexed="64"/>
        </top>
        <bottom/>
      </border>
    </dxf>
    <dxf>
      <font>
        <b/>
        <color auto="1"/>
      </font>
      <numFmt numFmtId="19" formatCode="dd/mm/yyyy"/>
      <fill>
        <patternFill patternType="solid">
          <fgColor indexed="64"/>
          <bgColor theme="3" tint="0.59999389629810485"/>
        </patternFill>
      </fill>
      <alignment horizontal="left" vertical="center" textRotation="0" wrapText="0" indent="0" justifyLastLine="0" shrinkToFit="0" readingOrder="0"/>
      <border diagonalUp="0" diagonalDown="0">
        <left/>
        <right/>
        <top style="thin">
          <color indexed="64"/>
        </top>
        <bottom/>
        <vertical/>
        <horizontal/>
      </border>
    </dxf>
    <dxf>
      <numFmt numFmtId="19" formatCode="dd/mm/yyyy"/>
      <fill>
        <patternFill patternType="solid">
          <fgColor indexed="64"/>
          <bgColor theme="3" tint="0.59999389629810485"/>
        </patternFill>
      </fill>
      <alignment horizontal="center" vertical="center" textRotation="0" wrapText="0" indent="0" justifyLastLine="0" shrinkToFit="0" readingOrder="0"/>
      <border diagonalUp="0" diagonalDown="0">
        <left/>
        <right/>
        <top style="thin">
          <color indexed="64"/>
        </top>
        <bottom/>
        <vertical/>
        <horizontal/>
      </border>
    </dxf>
    <dxf>
      <font>
        <b/>
        <color auto="1"/>
      </font>
      <numFmt numFmtId="19" formatCode="dd/mm/yyyy"/>
      <fill>
        <patternFill patternType="solid">
          <fgColor indexed="64"/>
          <bgColor theme="3" tint="0.59999389629810485"/>
        </patternFill>
      </fill>
      <alignment horizontal="left" vertical="center" textRotation="0" wrapText="0" indent="4" justifyLastLine="0" shrinkToFit="0" readingOrder="0"/>
      <border diagonalUp="0" diagonalDown="0" outline="0">
        <left/>
        <right/>
        <top style="thin">
          <color indexed="64"/>
        </top>
        <bottom/>
      </border>
    </dxf>
    <dxf>
      <font>
        <b/>
        <strike val="0"/>
        <outline val="0"/>
        <shadow val="0"/>
        <u val="none"/>
        <vertAlign val="baseline"/>
        <color auto="1"/>
        <name val="Calibri"/>
        <family val="2"/>
        <scheme val="minor"/>
      </font>
      <fill>
        <patternFill patternType="solid">
          <fgColor indexed="64"/>
          <bgColor theme="3" tint="0.59999389629810485"/>
        </patternFill>
      </fill>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border outline="0">
        <bottom style="thin">
          <color rgb="FF000000"/>
        </bottom>
      </border>
    </dxf>
    <dxf>
      <numFmt numFmtId="14" formatCode="0.00%"/>
      <fill>
        <patternFill patternType="none">
          <fgColor indexed="64"/>
          <bgColor auto="1"/>
        </patternFill>
      </fill>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indexed="64"/>
        </top>
      </border>
    </dxf>
    <dxf>
      <fill>
        <patternFill patternType="none">
          <fgColor indexed="64"/>
          <bgColor auto="1"/>
        </patternFill>
      </fill>
      <alignment vertical="center" textRotation="0" wrapText="0" indent="0" justifyLastLine="0" shrinkToFit="0" readingOrder="0"/>
    </dxf>
    <dxf>
      <border outline="0">
        <bottom style="thin">
          <color indexed="64"/>
        </bottom>
      </border>
    </dxf>
  </dxfs>
  <tableStyles count="1" defaultTableStyle="TableStyleMedium2" defaultPivotStyle="PivotStyleLight16">
    <tableStyle name="Slicer Style 1" pivot="0" table="0" count="0" xr9:uid="{024864EA-3A39-4F10-9A07-6C26A3D964E9}"/>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15</xdr:col>
      <xdr:colOff>625135</xdr:colOff>
      <xdr:row>0</xdr:row>
      <xdr:rowOff>0</xdr:rowOff>
    </xdr:from>
    <xdr:to>
      <xdr:col>19</xdr:col>
      <xdr:colOff>617086</xdr:colOff>
      <xdr:row>2</xdr:row>
      <xdr:rowOff>747346</xdr:rowOff>
    </xdr:to>
    <xdr:sp macro="" textlink="">
      <xdr:nvSpPr>
        <xdr:cNvPr id="3" name="Rectangle: Rounded Corners 2">
          <a:extLst>
            <a:ext uri="{FF2B5EF4-FFF2-40B4-BE49-F238E27FC236}">
              <a16:creationId xmlns:a16="http://schemas.microsoft.com/office/drawing/2014/main" id="{636DC8B2-4860-40D2-A27E-CF2D4CAA7EFB}"/>
            </a:ext>
          </a:extLst>
        </xdr:cNvPr>
        <xdr:cNvSpPr/>
      </xdr:nvSpPr>
      <xdr:spPr>
        <a:xfrm>
          <a:off x="15775488" y="0"/>
          <a:ext cx="3095980" cy="144211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19</xdr:col>
      <xdr:colOff>685441</xdr:colOff>
      <xdr:row>0</xdr:row>
      <xdr:rowOff>0</xdr:rowOff>
    </xdr:from>
    <xdr:to>
      <xdr:col>23</xdr:col>
      <xdr:colOff>552296</xdr:colOff>
      <xdr:row>2</xdr:row>
      <xdr:rowOff>781050</xdr:rowOff>
    </xdr:to>
    <xdr:sp macro="" textlink="">
      <xdr:nvSpPr>
        <xdr:cNvPr id="5" name="Rectangle: Rounded Corners 4">
          <a:extLst>
            <a:ext uri="{FF2B5EF4-FFF2-40B4-BE49-F238E27FC236}">
              <a16:creationId xmlns:a16="http://schemas.microsoft.com/office/drawing/2014/main" id="{B6D747E4-9239-47DD-900D-02B10DFCDF28}"/>
            </a:ext>
          </a:extLst>
        </xdr:cNvPr>
        <xdr:cNvSpPr/>
      </xdr:nvSpPr>
      <xdr:spPr>
        <a:xfrm>
          <a:off x="18939823" y="0"/>
          <a:ext cx="3082944" cy="1475815"/>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twoCellAnchor editAs="absolute">
    <xdr:from>
      <xdr:col>15</xdr:col>
      <xdr:colOff>74688</xdr:colOff>
      <xdr:row>0</xdr:row>
      <xdr:rowOff>107255</xdr:rowOff>
    </xdr:from>
    <xdr:to>
      <xdr:col>19</xdr:col>
      <xdr:colOff>690499</xdr:colOff>
      <xdr:row>3</xdr:row>
      <xdr:rowOff>33618</xdr:rowOff>
    </xdr:to>
    <mc:AlternateContent xmlns:mc="http://schemas.openxmlformats.org/markup-compatibility/2006" xmlns:sle15="http://schemas.microsoft.com/office/drawing/2012/slicer">
      <mc:Choice Requires="sle15">
        <xdr:graphicFrame macro="">
          <xdr:nvGraphicFramePr>
            <xdr:cNvPr id="2" name="Mã SP">
              <a:extLst>
                <a:ext uri="{FF2B5EF4-FFF2-40B4-BE49-F238E27FC236}">
                  <a16:creationId xmlns:a16="http://schemas.microsoft.com/office/drawing/2014/main" id="{7FE9108A-B717-43CD-BF0C-126649CA8F9E}"/>
                </a:ext>
              </a:extLst>
            </xdr:cNvPr>
            <xdr:cNvGraphicFramePr/>
          </xdr:nvGraphicFramePr>
          <xdr:xfrm>
            <a:off x="0" y="0"/>
            <a:ext cx="0" cy="0"/>
          </xdr:xfrm>
          <a:graphic>
            <a:graphicData uri="http://schemas.microsoft.com/office/drawing/2010/slicer">
              <sle:slicer xmlns:sle="http://schemas.microsoft.com/office/drawing/2010/slicer" name="Mã SP"/>
            </a:graphicData>
          </a:graphic>
        </xdr:graphicFrame>
      </mc:Choice>
      <mc:Fallback xmlns="">
        <xdr:sp macro="" textlink="">
          <xdr:nvSpPr>
            <xdr:cNvPr id="0" name=""/>
            <xdr:cNvSpPr>
              <a:spLocks noTextEdit="1"/>
            </xdr:cNvSpPr>
          </xdr:nvSpPr>
          <xdr:spPr>
            <a:xfrm>
              <a:off x="14933688" y="107255"/>
              <a:ext cx="3719840" cy="142795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24</xdr:col>
      <xdr:colOff>76047</xdr:colOff>
      <xdr:row>0</xdr:row>
      <xdr:rowOff>123263</xdr:rowOff>
    </xdr:from>
    <xdr:to>
      <xdr:col>28</xdr:col>
      <xdr:colOff>213674</xdr:colOff>
      <xdr:row>2</xdr:row>
      <xdr:rowOff>705969</xdr:rowOff>
    </xdr:to>
    <xdr:sp macro="" textlink="">
      <xdr:nvSpPr>
        <xdr:cNvPr id="7" name="Rectangle: Rounded Corners 6">
          <a:extLst>
            <a:ext uri="{FF2B5EF4-FFF2-40B4-BE49-F238E27FC236}">
              <a16:creationId xmlns:a16="http://schemas.microsoft.com/office/drawing/2014/main" id="{4815B422-3AFD-4CF0-8B0B-8D355036AE52}"/>
            </a:ext>
          </a:extLst>
        </xdr:cNvPr>
        <xdr:cNvSpPr/>
      </xdr:nvSpPr>
      <xdr:spPr>
        <a:xfrm>
          <a:off x="21860282" y="123263"/>
          <a:ext cx="3095980" cy="127747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baseline="0">
              <a:ln>
                <a:noFill/>
              </a:ln>
              <a:solidFill>
                <a:srgbClr val="FF0000"/>
              </a:solidFill>
            </a:rPr>
            <a:t>SỬA LẠI SỐ LƯỢNG NGYÀ 31/3</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863902</xdr:colOff>
      <xdr:row>0</xdr:row>
      <xdr:rowOff>49787</xdr:rowOff>
    </xdr:from>
    <xdr:to>
      <xdr:col>9</xdr:col>
      <xdr:colOff>59606</xdr:colOff>
      <xdr:row>2</xdr:row>
      <xdr:rowOff>793378</xdr:rowOff>
    </xdr:to>
    <mc:AlternateContent xmlns:mc="http://schemas.openxmlformats.org/markup-compatibility/2006" xmlns:sle15="http://schemas.microsoft.com/office/drawing/2012/slicer">
      <mc:Choice Requires="sle15">
        <xdr:graphicFrame macro="">
          <xdr:nvGraphicFramePr>
            <xdr:cNvPr id="4" name="Mã SP 1">
              <a:extLst>
                <a:ext uri="{FF2B5EF4-FFF2-40B4-BE49-F238E27FC236}">
                  <a16:creationId xmlns:a16="http://schemas.microsoft.com/office/drawing/2014/main" id="{E6E221B2-A78E-435B-89FE-410A9C3BD7A9}"/>
                </a:ext>
              </a:extLst>
            </xdr:cNvPr>
            <xdr:cNvGraphicFramePr/>
          </xdr:nvGraphicFramePr>
          <xdr:xfrm>
            <a:off x="0" y="0"/>
            <a:ext cx="0" cy="0"/>
          </xdr:xfrm>
          <a:graphic>
            <a:graphicData uri="http://schemas.microsoft.com/office/drawing/2010/slicer">
              <sle:slicer xmlns:sle="http://schemas.microsoft.com/office/drawing/2010/slicer" name="Mã SP 1"/>
            </a:graphicData>
          </a:graphic>
        </xdr:graphicFrame>
      </mc:Choice>
      <mc:Fallback xmlns="">
        <xdr:sp macro="" textlink="">
          <xdr:nvSpPr>
            <xdr:cNvPr id="0" name=""/>
            <xdr:cNvSpPr>
              <a:spLocks noTextEdit="1"/>
            </xdr:cNvSpPr>
          </xdr:nvSpPr>
          <xdr:spPr>
            <a:xfrm>
              <a:off x="7892231" y="49787"/>
              <a:ext cx="3830457" cy="142490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17</xdr:col>
      <xdr:colOff>938893</xdr:colOff>
      <xdr:row>0</xdr:row>
      <xdr:rowOff>81643</xdr:rowOff>
    </xdr:from>
    <xdr:to>
      <xdr:col>25</xdr:col>
      <xdr:colOff>126468</xdr:colOff>
      <xdr:row>57</xdr:row>
      <xdr:rowOff>126467</xdr:rowOff>
    </xdr:to>
    <xdr:sp macro="" textlink="">
      <xdr:nvSpPr>
        <xdr:cNvPr id="6" name="Rectangle: Rounded Corners 5">
          <a:extLst>
            <a:ext uri="{FF2B5EF4-FFF2-40B4-BE49-F238E27FC236}">
              <a16:creationId xmlns:a16="http://schemas.microsoft.com/office/drawing/2014/main" id="{8F7E31BC-7323-4913-A81A-9E384261B53F}"/>
            </a:ext>
          </a:extLst>
        </xdr:cNvPr>
        <xdr:cNvSpPr/>
      </xdr:nvSpPr>
      <xdr:spPr>
        <a:xfrm>
          <a:off x="18941143" y="81643"/>
          <a:ext cx="5705396" cy="1555217"/>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ln>
                <a:noFill/>
              </a:ln>
              <a:solidFill>
                <a:srgbClr val="C00000"/>
              </a:solidFill>
            </a:rPr>
            <a:t>Giá từ ngày 06/04/2026</a:t>
          </a:r>
        </a:p>
        <a:p>
          <a:pPr algn="l"/>
          <a:endParaRPr lang="en-US" sz="1050" b="1" baseline="0">
            <a:ln>
              <a:noFill/>
            </a:ln>
            <a:solidFill>
              <a:srgbClr val="C00000"/>
            </a:solidFill>
          </a:endParaRPr>
        </a:p>
        <a:p>
          <a:pPr algn="l"/>
          <a:r>
            <a:rPr lang="en-US" sz="1050" b="0" i="0">
              <a:solidFill>
                <a:sysClr val="windowText" lastClr="000000"/>
              </a:solidFill>
              <a:effectLst/>
              <a:latin typeface="+mn-lt"/>
              <a:ea typeface="+mn-ea"/>
              <a:cs typeface="+mn-cs"/>
            </a:rPr>
            <a:t>M</a:t>
          </a:r>
          <a:r>
            <a:rPr lang="vi-VN" sz="1050" b="0" i="0">
              <a:solidFill>
                <a:sysClr val="windowText" lastClr="000000"/>
              </a:solidFill>
              <a:effectLst/>
              <a:latin typeface="+mn-lt"/>
              <a:ea typeface="+mn-ea"/>
              <a:cs typeface="+mn-cs"/>
            </a:rPr>
            <a:t>ành dệt caro định lượng 65-100g/m2: Dệt là 41.000 đồng/kg, tráng là 42.000 đồng/kg</a:t>
          </a:r>
          <a:endParaRPr lang="en-US" sz="1050" b="0" i="0">
            <a:solidFill>
              <a:sysClr val="windowText" lastClr="000000"/>
            </a:solidFill>
            <a:effectLst/>
            <a:latin typeface="+mn-lt"/>
            <a:ea typeface="+mn-ea"/>
            <a:cs typeface="+mn-cs"/>
          </a:endParaRPr>
        </a:p>
        <a:p>
          <a:pPr algn="l"/>
          <a:r>
            <a:rPr lang="vi-VN" sz="1050" b="0" i="0">
              <a:solidFill>
                <a:sysClr val="windowText" lastClr="000000"/>
              </a:solidFill>
              <a:effectLst/>
              <a:latin typeface="+mn-lt"/>
              <a:ea typeface="+mn-ea"/>
              <a:cs typeface="+mn-cs"/>
            </a:rPr>
            <a:t> </a:t>
          </a:r>
          <a:endParaRPr lang="en-US" sz="1050" b="0" i="0">
            <a:solidFill>
              <a:sysClr val="windowText" lastClr="000000"/>
            </a:solidFill>
            <a:effectLst/>
            <a:latin typeface="+mn-lt"/>
            <a:ea typeface="+mn-ea"/>
            <a:cs typeface="+mn-cs"/>
          </a:endParaRPr>
        </a:p>
        <a:p>
          <a:pPr algn="l"/>
          <a:r>
            <a:rPr lang="vi-VN" sz="1050" b="0" i="0">
              <a:solidFill>
                <a:sysClr val="windowText" lastClr="000000"/>
              </a:solidFill>
              <a:effectLst/>
              <a:latin typeface="+mn-lt"/>
              <a:ea typeface="+mn-ea"/>
              <a:cs typeface="+mn-cs"/>
            </a:rPr>
            <a:t>Mành dệt Jumbo: 44.000 đồng/kg, tráng JB: 46.000 đồng/kg</a:t>
          </a:r>
          <a:endParaRPr lang="en-US" sz="1050" b="0" i="0">
            <a:solidFill>
              <a:sysClr val="windowText" lastClr="000000"/>
            </a:solidFill>
            <a:effectLst/>
            <a:latin typeface="+mn-lt"/>
            <a:ea typeface="+mn-ea"/>
            <a:cs typeface="+mn-cs"/>
          </a:endParaRPr>
        </a:p>
        <a:p>
          <a:pPr algn="l"/>
          <a:r>
            <a:rPr lang="vi-VN" sz="1050" b="0" i="0">
              <a:solidFill>
                <a:sysClr val="windowText" lastClr="000000"/>
              </a:solidFill>
              <a:effectLst/>
              <a:latin typeface="+mn-lt"/>
              <a:ea typeface="+mn-ea"/>
              <a:cs typeface="+mn-cs"/>
            </a:rPr>
            <a:t> </a:t>
          </a:r>
          <a:endParaRPr lang="en-US" sz="1050" b="0" i="0">
            <a:solidFill>
              <a:sysClr val="windowText" lastClr="000000"/>
            </a:solidFill>
            <a:effectLst/>
            <a:latin typeface="+mn-lt"/>
            <a:ea typeface="+mn-ea"/>
            <a:cs typeface="+mn-cs"/>
          </a:endParaRPr>
        </a:p>
        <a:p>
          <a:pPr algn="l"/>
          <a:r>
            <a:rPr lang="en-US" sz="1050" b="0" i="0">
              <a:solidFill>
                <a:sysClr val="windowText" lastClr="000000"/>
              </a:solidFill>
              <a:effectLst/>
              <a:latin typeface="+mn-lt"/>
              <a:ea typeface="+mn-ea"/>
              <a:cs typeface="+mn-cs"/>
            </a:rPr>
            <a:t>Đ</a:t>
          </a:r>
          <a:r>
            <a:rPr lang="vi-VN" sz="1050" b="0" i="0">
              <a:solidFill>
                <a:sysClr val="windowText" lastClr="000000"/>
              </a:solidFill>
              <a:effectLst/>
              <a:latin typeface="+mn-lt"/>
              <a:ea typeface="+mn-ea"/>
              <a:cs typeface="+mn-cs"/>
            </a:rPr>
            <a:t>ai (từ 40gr-53gr/m): 45.500 đồng/</a:t>
          </a:r>
          <a:r>
            <a:rPr lang="en-US" sz="1050" b="0" i="0">
              <a:solidFill>
                <a:sysClr val="windowText" lastClr="000000"/>
              </a:solidFill>
              <a:effectLst/>
              <a:latin typeface="+mn-lt"/>
              <a:ea typeface="+mn-ea"/>
              <a:cs typeface="+mn-cs"/>
            </a:rPr>
            <a:t>kg</a:t>
          </a:r>
          <a:endParaRPr lang="en-US" sz="1050" b="1" baseline="0">
            <a:ln>
              <a:noFill/>
            </a:ln>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625135</xdr:colOff>
      <xdr:row>0</xdr:row>
      <xdr:rowOff>0</xdr:rowOff>
    </xdr:from>
    <xdr:to>
      <xdr:col>19</xdr:col>
      <xdr:colOff>617086</xdr:colOff>
      <xdr:row>2</xdr:row>
      <xdr:rowOff>747346</xdr:rowOff>
    </xdr:to>
    <xdr:sp macro="" textlink="">
      <xdr:nvSpPr>
        <xdr:cNvPr id="2" name="Rectangle: Rounded Corners 1">
          <a:extLst>
            <a:ext uri="{FF2B5EF4-FFF2-40B4-BE49-F238E27FC236}">
              <a16:creationId xmlns:a16="http://schemas.microsoft.com/office/drawing/2014/main" id="{257ED530-DF3C-4BC5-8A81-7DA1AA6C62C4}"/>
            </a:ext>
          </a:extLst>
        </xdr:cNvPr>
        <xdr:cNvSpPr/>
      </xdr:nvSpPr>
      <xdr:spPr>
        <a:xfrm>
          <a:off x="15474610" y="0"/>
          <a:ext cx="3087576" cy="144267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19</xdr:col>
      <xdr:colOff>685441</xdr:colOff>
      <xdr:row>0</xdr:row>
      <xdr:rowOff>0</xdr:rowOff>
    </xdr:from>
    <xdr:to>
      <xdr:col>23</xdr:col>
      <xdr:colOff>552296</xdr:colOff>
      <xdr:row>2</xdr:row>
      <xdr:rowOff>781050</xdr:rowOff>
    </xdr:to>
    <xdr:sp macro="" textlink="">
      <xdr:nvSpPr>
        <xdr:cNvPr id="3" name="Rectangle: Rounded Corners 2">
          <a:extLst>
            <a:ext uri="{FF2B5EF4-FFF2-40B4-BE49-F238E27FC236}">
              <a16:creationId xmlns:a16="http://schemas.microsoft.com/office/drawing/2014/main" id="{61A3E4D5-EC13-4B45-9F42-43D98A3F39F7}"/>
            </a:ext>
          </a:extLst>
        </xdr:cNvPr>
        <xdr:cNvSpPr/>
      </xdr:nvSpPr>
      <xdr:spPr>
        <a:xfrm>
          <a:off x="18630541" y="0"/>
          <a:ext cx="3076780" cy="1476375"/>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absoluteAnchor>
    <xdr:pos x="15642772" y="443593"/>
    <xdr:ext cx="3572701" cy="1400085"/>
    <mc:AlternateContent xmlns:mc="http://schemas.openxmlformats.org/markup-compatibility/2006" xmlns:sle15="http://schemas.microsoft.com/office/drawing/2012/slicer">
      <mc:Choice Requires="sle15">
        <xdr:graphicFrame macro="">
          <xdr:nvGraphicFramePr>
            <xdr:cNvPr id="4" name="Mã SP 2">
              <a:extLst>
                <a:ext uri="{FF2B5EF4-FFF2-40B4-BE49-F238E27FC236}">
                  <a16:creationId xmlns:a16="http://schemas.microsoft.com/office/drawing/2014/main" id="{05AB806B-872F-4BCC-8AEA-8E5C1A0E0626}"/>
                </a:ext>
              </a:extLst>
            </xdr:cNvPr>
            <xdr:cNvGraphicFramePr/>
          </xdr:nvGraphicFramePr>
          <xdr:xfrm>
            <a:off x="0" y="0"/>
            <a:ext cx="0" cy="0"/>
          </xdr:xfrm>
          <a:graphic>
            <a:graphicData uri="http://schemas.microsoft.com/office/drawing/2010/slicer">
              <sle:slicer xmlns:sle="http://schemas.microsoft.com/office/drawing/2010/slicer" name="Mã SP 2"/>
            </a:graphicData>
          </a:graphic>
        </xdr:graphicFrame>
      </mc:Choice>
      <mc:Fallback xmlns="">
        <xdr:sp macro="" textlink="">
          <xdr:nvSpPr>
            <xdr:cNvPr id="0" name=""/>
            <xdr:cNvSpPr>
              <a:spLocks noTextEdit="1"/>
            </xdr:cNvSpPr>
          </xdr:nvSpPr>
          <xdr:spPr>
            <a:xfrm>
              <a:off x="15642772" y="443593"/>
              <a:ext cx="3572701" cy="14000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4.xml><?xml version="1.0" encoding="utf-8"?>
<xdr:wsDr xmlns:xdr="http://schemas.openxmlformats.org/drawingml/2006/spreadsheetDrawing" xmlns:a="http://schemas.openxmlformats.org/drawingml/2006/main">
  <xdr:twoCellAnchor>
    <xdr:from>
      <xdr:col>14</xdr:col>
      <xdr:colOff>406059</xdr:colOff>
      <xdr:row>0</xdr:row>
      <xdr:rowOff>22412</xdr:rowOff>
    </xdr:from>
    <xdr:to>
      <xdr:col>18</xdr:col>
      <xdr:colOff>390727</xdr:colOff>
      <xdr:row>2</xdr:row>
      <xdr:rowOff>769758</xdr:rowOff>
    </xdr:to>
    <xdr:sp macro="" textlink="">
      <xdr:nvSpPr>
        <xdr:cNvPr id="2" name="Rectangle: Rounded Corners 1">
          <a:extLst>
            <a:ext uri="{FF2B5EF4-FFF2-40B4-BE49-F238E27FC236}">
              <a16:creationId xmlns:a16="http://schemas.microsoft.com/office/drawing/2014/main" id="{513FDC85-6AE3-4F46-81B0-3C897B7B21C7}"/>
            </a:ext>
          </a:extLst>
        </xdr:cNvPr>
        <xdr:cNvSpPr/>
      </xdr:nvSpPr>
      <xdr:spPr>
        <a:xfrm>
          <a:off x="16609765" y="22412"/>
          <a:ext cx="3088697" cy="144211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18</xdr:col>
      <xdr:colOff>685441</xdr:colOff>
      <xdr:row>0</xdr:row>
      <xdr:rowOff>0</xdr:rowOff>
    </xdr:from>
    <xdr:to>
      <xdr:col>22</xdr:col>
      <xdr:colOff>552296</xdr:colOff>
      <xdr:row>2</xdr:row>
      <xdr:rowOff>781050</xdr:rowOff>
    </xdr:to>
    <xdr:sp macro="" textlink="">
      <xdr:nvSpPr>
        <xdr:cNvPr id="3" name="Rectangle: Rounded Corners 2">
          <a:extLst>
            <a:ext uri="{FF2B5EF4-FFF2-40B4-BE49-F238E27FC236}">
              <a16:creationId xmlns:a16="http://schemas.microsoft.com/office/drawing/2014/main" id="{3B2EF4D5-9D8F-44AA-A1B9-574F6FC3B899}"/>
            </a:ext>
          </a:extLst>
        </xdr:cNvPr>
        <xdr:cNvSpPr/>
      </xdr:nvSpPr>
      <xdr:spPr>
        <a:xfrm>
          <a:off x="19973566" y="0"/>
          <a:ext cx="3076780" cy="1476375"/>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absoluteAnchor>
    <xdr:pos x="15505676" y="378278"/>
    <xdr:ext cx="3572701" cy="1400085"/>
    <mc:AlternateContent xmlns:mc="http://schemas.openxmlformats.org/markup-compatibility/2006" xmlns:sle15="http://schemas.microsoft.com/office/drawing/2012/slicer">
      <mc:Choice Requires="sle15">
        <xdr:graphicFrame macro="">
          <xdr:nvGraphicFramePr>
            <xdr:cNvPr id="4" name="Mã SP 3">
              <a:extLst>
                <a:ext uri="{FF2B5EF4-FFF2-40B4-BE49-F238E27FC236}">
                  <a16:creationId xmlns:a16="http://schemas.microsoft.com/office/drawing/2014/main" id="{6F6B37BB-13F9-44E3-847B-C35B438BB68C}"/>
                </a:ext>
              </a:extLst>
            </xdr:cNvPr>
            <xdr:cNvGraphicFramePr/>
          </xdr:nvGraphicFramePr>
          <xdr:xfrm>
            <a:off x="0" y="0"/>
            <a:ext cx="0" cy="0"/>
          </xdr:xfrm>
          <a:graphic>
            <a:graphicData uri="http://schemas.microsoft.com/office/drawing/2010/slicer">
              <sle:slicer xmlns:sle="http://schemas.microsoft.com/office/drawing/2010/slicer" name="Mã SP 3"/>
            </a:graphicData>
          </a:graphic>
        </xdr:graphicFrame>
      </mc:Choice>
      <mc:Fallback xmlns="">
        <xdr:sp macro="" textlink="">
          <xdr:nvSpPr>
            <xdr:cNvPr id="0" name=""/>
            <xdr:cNvSpPr>
              <a:spLocks noTextEdit="1"/>
            </xdr:cNvSpPr>
          </xdr:nvSpPr>
          <xdr:spPr>
            <a:xfrm>
              <a:off x="15505676" y="378278"/>
              <a:ext cx="3572701" cy="14000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5.xml><?xml version="1.0" encoding="utf-8"?>
<xdr:wsDr xmlns:xdr="http://schemas.openxmlformats.org/drawingml/2006/spreadsheetDrawing" xmlns:a="http://schemas.openxmlformats.org/drawingml/2006/main">
  <xdr:twoCellAnchor>
    <xdr:from>
      <xdr:col>15</xdr:col>
      <xdr:colOff>406059</xdr:colOff>
      <xdr:row>0</xdr:row>
      <xdr:rowOff>22412</xdr:rowOff>
    </xdr:from>
    <xdr:to>
      <xdr:col>19</xdr:col>
      <xdr:colOff>390727</xdr:colOff>
      <xdr:row>2</xdr:row>
      <xdr:rowOff>769758</xdr:rowOff>
    </xdr:to>
    <xdr:sp macro="" textlink="">
      <xdr:nvSpPr>
        <xdr:cNvPr id="2" name="Rectangle: Rounded Corners 1">
          <a:extLst>
            <a:ext uri="{FF2B5EF4-FFF2-40B4-BE49-F238E27FC236}">
              <a16:creationId xmlns:a16="http://schemas.microsoft.com/office/drawing/2014/main" id="{F81A3679-5940-4853-B5B4-591C938817B0}"/>
            </a:ext>
          </a:extLst>
        </xdr:cNvPr>
        <xdr:cNvSpPr/>
      </xdr:nvSpPr>
      <xdr:spPr>
        <a:xfrm>
          <a:off x="16598559" y="22412"/>
          <a:ext cx="3080293" cy="144267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19</xdr:col>
      <xdr:colOff>685441</xdr:colOff>
      <xdr:row>0</xdr:row>
      <xdr:rowOff>0</xdr:rowOff>
    </xdr:from>
    <xdr:to>
      <xdr:col>23</xdr:col>
      <xdr:colOff>552296</xdr:colOff>
      <xdr:row>2</xdr:row>
      <xdr:rowOff>781050</xdr:rowOff>
    </xdr:to>
    <xdr:sp macro="" textlink="">
      <xdr:nvSpPr>
        <xdr:cNvPr id="3" name="Rectangle: Rounded Corners 2">
          <a:extLst>
            <a:ext uri="{FF2B5EF4-FFF2-40B4-BE49-F238E27FC236}">
              <a16:creationId xmlns:a16="http://schemas.microsoft.com/office/drawing/2014/main" id="{0897290E-8748-4F08-817F-B74B6CD6C91F}"/>
            </a:ext>
          </a:extLst>
        </xdr:cNvPr>
        <xdr:cNvSpPr/>
      </xdr:nvSpPr>
      <xdr:spPr>
        <a:xfrm>
          <a:off x="19973566" y="0"/>
          <a:ext cx="3076780" cy="1476375"/>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twoCellAnchor editAs="absolute">
    <xdr:from>
      <xdr:col>9</xdr:col>
      <xdr:colOff>300399</xdr:colOff>
      <xdr:row>0</xdr:row>
      <xdr:rowOff>59711</xdr:rowOff>
    </xdr:from>
    <xdr:to>
      <xdr:col>12</xdr:col>
      <xdr:colOff>629774</xdr:colOff>
      <xdr:row>2</xdr:row>
      <xdr:rowOff>304639</xdr:rowOff>
    </xdr:to>
    <mc:AlternateContent xmlns:mc="http://schemas.openxmlformats.org/markup-compatibility/2006" xmlns:sle15="http://schemas.microsoft.com/office/drawing/2012/slicer">
      <mc:Choice Requires="sle15">
        <xdr:graphicFrame macro="">
          <xdr:nvGraphicFramePr>
            <xdr:cNvPr id="5" name="Mã KDU">
              <a:extLst>
                <a:ext uri="{FF2B5EF4-FFF2-40B4-BE49-F238E27FC236}">
                  <a16:creationId xmlns:a16="http://schemas.microsoft.com/office/drawing/2014/main" id="{A764F20B-EC1A-4A60-B29F-A531F8277411}"/>
                </a:ext>
              </a:extLst>
            </xdr:cNvPr>
            <xdr:cNvGraphicFramePr/>
          </xdr:nvGraphicFramePr>
          <xdr:xfrm>
            <a:off x="0" y="0"/>
            <a:ext cx="0" cy="0"/>
          </xdr:xfrm>
          <a:graphic>
            <a:graphicData uri="http://schemas.microsoft.com/office/drawing/2010/slicer">
              <sle:slicer xmlns:sle="http://schemas.microsoft.com/office/drawing/2010/slicer" name="Mã KDU"/>
            </a:graphicData>
          </a:graphic>
        </xdr:graphicFrame>
      </mc:Choice>
      <mc:Fallback xmlns="">
        <xdr:sp macro="" textlink="">
          <xdr:nvSpPr>
            <xdr:cNvPr id="0" name=""/>
            <xdr:cNvSpPr>
              <a:spLocks noTextEdit="1"/>
            </xdr:cNvSpPr>
          </xdr:nvSpPr>
          <xdr:spPr>
            <a:xfrm>
              <a:off x="11793152" y="59711"/>
              <a:ext cx="3816646" cy="92624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15</xdr:col>
      <xdr:colOff>625135</xdr:colOff>
      <xdr:row>0</xdr:row>
      <xdr:rowOff>0</xdr:rowOff>
    </xdr:from>
    <xdr:to>
      <xdr:col>19</xdr:col>
      <xdr:colOff>617086</xdr:colOff>
      <xdr:row>2</xdr:row>
      <xdr:rowOff>747346</xdr:rowOff>
    </xdr:to>
    <xdr:sp macro="" textlink="">
      <xdr:nvSpPr>
        <xdr:cNvPr id="2" name="Rectangle: Rounded Corners 1">
          <a:extLst>
            <a:ext uri="{FF2B5EF4-FFF2-40B4-BE49-F238E27FC236}">
              <a16:creationId xmlns:a16="http://schemas.microsoft.com/office/drawing/2014/main" id="{22539BDA-6F47-4544-A386-20F9E2E46007}"/>
            </a:ext>
          </a:extLst>
        </xdr:cNvPr>
        <xdr:cNvSpPr/>
      </xdr:nvSpPr>
      <xdr:spPr>
        <a:xfrm>
          <a:off x="17892055" y="0"/>
          <a:ext cx="3177111" cy="1433146"/>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19</xdr:col>
      <xdr:colOff>685441</xdr:colOff>
      <xdr:row>0</xdr:row>
      <xdr:rowOff>0</xdr:rowOff>
    </xdr:from>
    <xdr:to>
      <xdr:col>23</xdr:col>
      <xdr:colOff>552296</xdr:colOff>
      <xdr:row>2</xdr:row>
      <xdr:rowOff>781050</xdr:rowOff>
    </xdr:to>
    <xdr:sp macro="" textlink="">
      <xdr:nvSpPr>
        <xdr:cNvPr id="3" name="Rectangle: Rounded Corners 2">
          <a:extLst>
            <a:ext uri="{FF2B5EF4-FFF2-40B4-BE49-F238E27FC236}">
              <a16:creationId xmlns:a16="http://schemas.microsoft.com/office/drawing/2014/main" id="{D964DB69-C1CE-4CDB-A1B1-D738C398C12C}"/>
            </a:ext>
          </a:extLst>
        </xdr:cNvPr>
        <xdr:cNvSpPr/>
      </xdr:nvSpPr>
      <xdr:spPr>
        <a:xfrm>
          <a:off x="21137521" y="0"/>
          <a:ext cx="3158695" cy="1466850"/>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absoluteAnchor>
    <xdr:pos x="16198584" y="76670647"/>
    <xdr:ext cx="3572701" cy="1400085"/>
    <mc:AlternateContent xmlns:mc="http://schemas.openxmlformats.org/markup-compatibility/2006" xmlns:sle15="http://schemas.microsoft.com/office/drawing/2012/slicer">
      <mc:Choice Requires="sle15">
        <xdr:graphicFrame macro="">
          <xdr:nvGraphicFramePr>
            <xdr:cNvPr id="4" name="Mã SP 4">
              <a:extLst>
                <a:ext uri="{FF2B5EF4-FFF2-40B4-BE49-F238E27FC236}">
                  <a16:creationId xmlns:a16="http://schemas.microsoft.com/office/drawing/2014/main" id="{76DEDA08-B44B-46D3-A29A-B420EDAD3A3C}"/>
                </a:ext>
              </a:extLst>
            </xdr:cNvPr>
            <xdr:cNvGraphicFramePr/>
          </xdr:nvGraphicFramePr>
          <xdr:xfrm>
            <a:off x="0" y="0"/>
            <a:ext cx="0" cy="0"/>
          </xdr:xfrm>
          <a:graphic>
            <a:graphicData uri="http://schemas.microsoft.com/office/drawing/2010/slicer">
              <sle:slicer xmlns:sle="http://schemas.microsoft.com/office/drawing/2010/slicer" name="Mã SP 4"/>
            </a:graphicData>
          </a:graphic>
        </xdr:graphicFrame>
      </mc:Choice>
      <mc:Fallback xmlns="">
        <xdr:sp macro="" textlink="">
          <xdr:nvSpPr>
            <xdr:cNvPr id="0" name=""/>
            <xdr:cNvSpPr>
              <a:spLocks noTextEdit="1"/>
            </xdr:cNvSpPr>
          </xdr:nvSpPr>
          <xdr:spPr>
            <a:xfrm>
              <a:off x="16198584" y="76670647"/>
              <a:ext cx="3572701" cy="14000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 xr10:uid="{D7D046A4-CE25-486C-B17B-CFF1D41D6AD1}" sourceName="Mã SP">
  <extLst>
    <x:ext xmlns:x15="http://schemas.microsoft.com/office/spreadsheetml/2010/11/main" uri="{2F2917AC-EB37-4324-AD4E-5DD8C200BD13}">
      <x15:tableSlicerCache tableId="1" column="1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1" xr10:uid="{DF98977B-82E0-4E0B-8389-46A53A4D9BF1}" sourceName="Mã SP">
  <extLst>
    <x:ext xmlns:x15="http://schemas.microsoft.com/office/spreadsheetml/2010/11/main" uri="{2F2917AC-EB37-4324-AD4E-5DD8C200BD13}">
      <x15:tableSlicerCache tableId="2" column="1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2" xr10:uid="{28AEB06D-A319-4153-BE40-6D728D205AA4}" sourceName="Mã SP">
  <extLst>
    <x:ext xmlns:x15="http://schemas.microsoft.com/office/spreadsheetml/2010/11/main" uri="{2F2917AC-EB37-4324-AD4E-5DD8C200BD13}">
      <x15:tableSlicerCache tableId="4" column="1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21" xr10:uid="{DD4A5D9E-6456-4AE5-9803-B00492D14D0E}" sourceName="Mã SP">
  <extLst>
    <x:ext xmlns:x15="http://schemas.microsoft.com/office/spreadsheetml/2010/11/main" uri="{2F2917AC-EB37-4324-AD4E-5DD8C200BD13}">
      <x15:tableSlicerCache tableId="5" column="1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2" xr10:uid="{9D75A151-835C-4090-A92A-9302FAEEC763}" sourceName="Column2">
  <extLst>
    <x:ext xmlns:x15="http://schemas.microsoft.com/office/spreadsheetml/2010/11/main" uri="{2F2917AC-EB37-4324-AD4E-5DD8C200BD13}">
      <x15:tableSlicerCache tableId="6"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22" xr10:uid="{8E1ADB30-3DAB-449C-B7D2-C558E30A4BE6}" sourceName="Mã SP">
  <extLst>
    <x:ext xmlns:x15="http://schemas.microsoft.com/office/spreadsheetml/2010/11/main" uri="{2F2917AC-EB37-4324-AD4E-5DD8C200BD13}">
      <x15:tableSlicerCache tableId="8"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xr10:uid="{D819CD3E-E3A4-4D8D-837A-EC792FA8F4C9}" cache="Slicer_Mã_SP" caption="Mã SP" startItem="12" columnCount="2"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1" xr10:uid="{41E9D63D-6B33-4FEC-A2CE-0C8FC05F1D69}" cache="Slicer_Mã_SP1" caption="Mã SP" columnCount="2" style="SlicerStyleDark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2" xr10:uid="{3967F746-CF95-4A52-B3F2-E79468951D8D}" cache="Slicer_Mã_SP2" caption="Mã SP" columnCount="2" style="SlicerStyleDark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3" xr10:uid="{E31C4A2B-8B01-44C8-A0B6-BF1CCD32D9C7}" cache="Slicer_Mã_SP21" caption="Mã SP" columnCount="2" style="SlicerStyleDark4"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KDU" xr10:uid="{501065D2-4FAD-4AA6-9E32-278F9A2854FB}" cache="Slicer_Column2" caption="Mã KDU" columnCount="2" style="SlicerStyleDark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4" xr10:uid="{BCB9CC01-CF18-43EE-A5ED-AD9DBC911043}" cache="Slicer_Mã_SP22" caption="Mã SP" columnCount="2"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CC7CF6-889F-46FE-AB4A-A8D9F60E50DC}" name="Tracking_SI" displayName="Tracking_SI" ref="A3:M790" totalsRowShown="0" dataDxfId="401" headerRowBorderDxfId="402" tableBorderDxfId="400">
  <autoFilter ref="A3:M790" xr:uid="{88CC7CF6-889F-46FE-AB4A-A8D9F60E50DC}"/>
  <tableColumns count="13">
    <tableColumn id="5" xr3:uid="{DDFAB2E8-881C-4333-8A4C-89CD35298B41}" name="SI" dataDxfId="399"/>
    <tableColumn id="16" xr3:uid="{323DA2AF-D1B6-45D0-BD68-150E77475FED}" name="Mã SP" dataDxfId="398"/>
    <tableColumn id="13" xr3:uid="{07D3DA87-55CB-479E-831F-0E55A55F33E4}" name="Tên SP_x000a_(PO)" dataDxfId="397"/>
    <tableColumn id="6" xr3:uid="{90CF4766-654C-4DAE-8CFA-D45DBFDB659C}" name="Ngày giao hàng" dataDxfId="396"/>
    <tableColumn id="7" xr3:uid="{67304FCF-E7D2-435C-8EDC-B82E0137E9FA}" name="Số PO" dataDxfId="395"/>
    <tableColumn id="8" xr3:uid="{30D05CD6-2594-4FFA-939B-C6B1183A861D}" name="ĐVT" dataDxfId="394"/>
    <tableColumn id="9" xr3:uid="{FD4AA908-3BA0-42F9-8D8B-FAC3986C7660}" name="Số  lượng trên ĐH" dataDxfId="393"/>
    <tableColumn id="10" xr3:uid="{86D85ED4-9CAF-4DB2-9536-F8BC33EBECB4}" name="Số  lượng giao" dataDxfId="392" dataCellStyle="Comma"/>
    <tableColumn id="11" xr3:uid="{DDB92299-32B7-4D24-BB9D-9DF6F6BB02C9}" name="Chênh lệch _x000a_(thừa so với ĐH)" dataDxfId="391"/>
    <tableColumn id="12" xr3:uid="{7405FFED-9177-4B44-AAEF-2532AD9F70AB}" name="Đơn giá" dataDxfId="390"/>
    <tableColumn id="19" xr3:uid="{55E6AF1C-F81D-4163-9DD5-00D1042CA42D}" name="Hoàn thành" dataDxfId="389"/>
    <tableColumn id="14" xr3:uid="{50E9046F-D739-474A-8A02-F394FBA9192B}" name="Ghi chú" dataDxfId="388"/>
    <tableColumn id="1" xr3:uid="{9B1B4CCE-C8CD-4B0D-9D38-A500BB5B70CF}" name="Dung sai" dataDxfId="387" dataCellStyle="Percent">
      <calculatedColumnFormula>Tracking_SI[[#This Row],[Chênh lệch 
(thừa so với ĐH)]]/Tracking_SI[[#This Row],[Số  lượng trên ĐH]]</calculatedColumnFormula>
    </tableColumn>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5091EF-6183-447B-9452-11BDE0AE87F9}" name="Tracking_SI3" displayName="Tracking_SI3" ref="A3:L128" totalsRowShown="0" headerRowBorderDxfId="386" tableBorderDxfId="385">
  <autoFilter ref="A3:L128" xr:uid="{88CC7CF6-889F-46FE-AB4A-A8D9F60E50DC}"/>
  <tableColumns count="12">
    <tableColumn id="5" xr3:uid="{759D0698-4C39-4150-AB72-8A6DF4437409}" name="SI" dataDxfId="384"/>
    <tableColumn id="16" xr3:uid="{9262A3A5-2877-4FCA-8406-3B1D99E51989}" name="Mã SP" dataDxfId="383"/>
    <tableColumn id="13" xr3:uid="{8DFA71FB-78F3-42F8-BF9A-5FC9854ED62F}" name="Tên SP_x000a_(PO)" dataDxfId="382"/>
    <tableColumn id="6" xr3:uid="{8C08775B-DC27-4ED9-937B-291870B8F42E}" name="Ngày giao hàng" dataDxfId="381"/>
    <tableColumn id="7" xr3:uid="{D68AD3B3-8D3F-4AE7-ACBB-3AA517B1D80A}" name="Số PO" dataDxfId="380"/>
    <tableColumn id="9" xr3:uid="{EA733AAE-37DD-4516-B4BC-7E1B06BAD664}" name="Số  lượng trên ĐH" dataDxfId="379"/>
    <tableColumn id="10" xr3:uid="{F6CE4B15-28B1-4686-98B6-99AAE0FE4F04}" name="Số  lượng giao" dataDxfId="378" dataCellStyle="Comma">
      <calculatedColumnFormula>SUM(G5:G7)</calculatedColumnFormula>
    </tableColumn>
    <tableColumn id="11" xr3:uid="{669CD0E5-F0FD-4FC2-9B23-FEE08609E05D}" name="Chênh lệch _x000a_(thừa so với ĐH)" dataDxfId="377">
      <calculatedColumnFormula>Tracking_SI3[[#This Row],[Số  lượng giao]]-Tracking_SI3[[#This Row],[Số  lượng trên ĐH]]</calculatedColumnFormula>
    </tableColumn>
    <tableColumn id="12" xr3:uid="{68B8E42F-A947-4751-A05E-818E535118B0}" name="Đơn giá" dataDxfId="376"/>
    <tableColumn id="19" xr3:uid="{CBC15963-267A-458D-B0D8-06E51A282EF0}" name="Hoàn thành" dataDxfId="375"/>
    <tableColumn id="14" xr3:uid="{08CD9252-BE76-44C6-9E55-AA1A3F6DC593}" name="Ghi chú" dataDxfId="374"/>
    <tableColumn id="1" xr3:uid="{4ADDE446-ACDF-46F8-AC6D-BB800DEE8DFF}" name="Dung sai" dataDxfId="373" dataCellStyle="Percent"/>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0AC59D-7EA6-4752-A61A-B4356A45D67D}" name="Table3" displayName="Table3" ref="A4:M111" totalsRowShown="0" headerRowDxfId="372">
  <autoFilter ref="A4:M111" xr:uid="{FC0AC59D-7EA6-4752-A61A-B4356A45D67D}">
    <filterColumn colId="2">
      <filters blank="1">
        <dateGroupItem year="2025" dateTimeGrouping="year"/>
      </filters>
    </filterColumn>
  </autoFilter>
  <tableColumns count="13">
    <tableColumn id="1" xr3:uid="{7781520F-38EF-41A2-AA2C-10AD4C6922C4}" name="STT" dataDxfId="371"/>
    <tableColumn id="2" xr3:uid="{563EA0FA-C42C-487E-AFFC-6C4D37CDB46E}" name="Giao" dataDxfId="370">
      <calculatedColumnFormula>Table3[[#This Row],[GIAO PP]]+Table3[[#This Row],[GIAO KP]]+Table3[[#This Row],[GIAO KPK]]</calculatedColumnFormula>
    </tableColumn>
    <tableColumn id="3" xr3:uid="{7507A4AB-41F9-462F-AD7B-2A445F50C52B}" name="NGÀY ĐẶT " dataDxfId="369"/>
    <tableColumn id="4" xr3:uid="{A0005CA3-99FA-4E3A-83FB-F49E4BE06A6D}" name="ĐẶT PP" dataDxfId="368"/>
    <tableColumn id="5" xr3:uid="{8F77E4A6-814F-4B3E-B62D-16F5AB77C45F}" name="GIAO PP"/>
    <tableColumn id="6" xr3:uid="{8289F8F6-0A0E-4EA2-937A-3571789962E4}" name="TỒN PP" dataDxfId="367"/>
    <tableColumn id="7" xr3:uid="{D9796FAA-166B-4A35-86A6-5C51596EE528}" name="ĐẶT KP" dataDxfId="366"/>
    <tableColumn id="8" xr3:uid="{B8B6CA13-CFCE-4343-AF4B-B4DC11A9759F}" name="GIAO KP"/>
    <tableColumn id="9" xr3:uid="{A57B0381-8614-46CB-A5E8-8C2E1195F689}" name="TỒN KP" dataDxfId="365"/>
    <tableColumn id="10" xr3:uid="{18C596C3-6849-4761-8491-76EA52A24167}" name="ĐẶT KPK"/>
    <tableColumn id="11" xr3:uid="{A3F12F7A-4979-4192-A58B-1F90C4454CBA}" name="GIAO KPK"/>
    <tableColumn id="12" xr3:uid="{365FA9B9-C930-418F-9337-90389612A6FC}" name="TỒN KPK"/>
    <tableColumn id="13" xr3:uid="{38F44D3D-C60D-4166-AC72-9F3E5FF4186C}" name="GHI CHÚ" dataDxfId="364"/>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D0F13E-5DB1-45A5-ACF7-530E37FCFE2B}" name="Tracking_SI5" displayName="Tracking_SI5" ref="A3:M589" totalsRowShown="0" dataDxfId="362" headerRowBorderDxfId="363" tableBorderDxfId="361">
  <autoFilter ref="A3:M589" xr:uid="{88CC7CF6-889F-46FE-AB4A-A8D9F60E50DC}">
    <filterColumn colId="0">
      <filters>
        <filter val="-"/>
        <filter val="SI"/>
      </filters>
    </filterColumn>
  </autoFilter>
  <tableColumns count="13">
    <tableColumn id="5" xr3:uid="{5CE9BD84-9739-43FD-BE06-F4A4008C11D6}" name="Column1" dataDxfId="360"/>
    <tableColumn id="16" xr3:uid="{12A89603-C960-48FE-95DA-2CFF45F0E6A0}" name="Mã SP" dataDxfId="359"/>
    <tableColumn id="13" xr3:uid="{86DF7BCF-9178-4807-A5B6-5C555D9FA05B}" name="Tên SP_x000a_(PO)" dataDxfId="358"/>
    <tableColumn id="6" xr3:uid="{583D1B5F-10A1-4C62-AC1D-D24824B2B732}" name="Ngày giao hàng" dataDxfId="357"/>
    <tableColumn id="7" xr3:uid="{5615A4B4-6EEA-4CE7-8F2C-75EAB68680CA}" name="Số PO" dataDxfId="356"/>
    <tableColumn id="9" xr3:uid="{F764725D-80DE-4B84-B59A-42326F4AFA92}" name="Số  lượng trên ĐH" dataDxfId="355"/>
    <tableColumn id="3" xr3:uid="{70C13A93-5F4A-46F9-AC59-EF090131B82C}" name="% còn lại cần giao" dataDxfId="354" dataCellStyle="Percent"/>
    <tableColumn id="10" xr3:uid="{2727A4DD-9D3E-4526-AED4-A8045A1AAEA4}" name="Số  lượng giao" dataDxfId="353" dataCellStyle="Comma"/>
    <tableColumn id="11" xr3:uid="{37532E5C-CB92-4879-920F-09EF07AB6498}" name="Còn lại so với ĐH" dataDxfId="352"/>
    <tableColumn id="12" xr3:uid="{0235F255-7E52-4520-BA2E-BE0D9EBB28AD}" name="Đơn giá" dataDxfId="351"/>
    <tableColumn id="19" xr3:uid="{3916B519-EC31-44B7-89E9-6DD11996E9A5}" name="Hoàn thành" dataDxfId="350"/>
    <tableColumn id="14" xr3:uid="{4A0C2454-2C3B-4590-B933-DAC7258982C7}" name="Ghi chú" dataDxfId="349"/>
    <tableColumn id="1" xr3:uid="{DA0DFAF6-EB95-409D-9EE0-B88B4E330F8A}" name="Column2" dataDxfId="348" dataCellStyle="Percent"/>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17B227-A32A-4352-A662-1972BDB32DA6}" name="Tracking_SI56" displayName="Tracking_SI56" ref="A3:L37" totalsRowShown="0" dataDxfId="346" headerRowBorderDxfId="347" tableBorderDxfId="345">
  <autoFilter ref="A3:L37" xr:uid="{88CC7CF6-889F-46FE-AB4A-A8D9F60E50DC}"/>
  <tableColumns count="12">
    <tableColumn id="5" xr3:uid="{35F4D1A4-9FAD-491F-947E-29707774F498}" name="Phân loại" dataDxfId="344"/>
    <tableColumn id="16" xr3:uid="{EEF36609-D283-48A2-A639-3458E59AA430}" name="Mã SP" dataDxfId="343"/>
    <tableColumn id="13" xr3:uid="{2810655F-59B1-4185-90B7-8187F672BAC1}" name="Tên SP_x000a_(PO)" dataDxfId="342"/>
    <tableColumn id="6" xr3:uid="{DBAAC65A-E9DA-4F0B-BF39-F19BA3904C88}" name="Ngày" dataDxfId="341"/>
    <tableColumn id="7" xr3:uid="{C5C5468A-ACA8-40D2-AE63-15010A26114C}" name="Số PO" dataDxfId="340"/>
    <tableColumn id="2" xr3:uid="{CB5145F1-4FA9-4717-B804-B90F6AEDF1FA}" name="% còn lại chưa giao" dataDxfId="339" dataCellStyle="Percent"/>
    <tableColumn id="9" xr3:uid="{527BC8C6-81F4-48BC-B012-EEF22EAFC296}" name="Số  lượng trên ĐH" dataDxfId="338"/>
    <tableColumn id="10" xr3:uid="{B5FE727F-DBC3-447C-88BD-0BD37421B121}" name="Số  lượng giao" dataDxfId="337" dataCellStyle="Comma"/>
    <tableColumn id="11" xr3:uid="{4A3673F5-6737-407A-9090-807D7F0DF3CE}" name="Còn lại so với ĐH" dataDxfId="336"/>
    <tableColumn id="12" xr3:uid="{E52FA4E4-1D99-4D42-ADA6-A23B3210A3B8}" name="Đơn giá" dataDxfId="335"/>
    <tableColumn id="19" xr3:uid="{521EC5CA-75B3-4286-94A9-C1FE92B94C45}" name="Hoàn thành" dataDxfId="334"/>
    <tableColumn id="14" xr3:uid="{CD454F47-C1F9-4291-BA58-7B4B3E00D58E}" name="Ghi chú" dataDxfId="333"/>
  </tableColumns>
  <tableStyleInfo name="TableStyleLight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DD5FCF-C1D6-4D34-889A-7DB09C3028BB}" name="Tracking_SI567" displayName="Tracking_SI567" ref="A3:M37" totalsRowShown="0" dataDxfId="331" headerRowBorderDxfId="332" tableBorderDxfId="330">
  <autoFilter ref="A3:M37" xr:uid="{88CC7CF6-889F-46FE-AB4A-A8D9F60E50DC}"/>
  <tableColumns count="13">
    <tableColumn id="5" xr3:uid="{7B03C445-16A4-4992-8D8F-BBC5047648DC}" name="Phân loại" dataDxfId="329"/>
    <tableColumn id="1" xr3:uid="{9D4764F2-A5A8-4F1C-818D-15B3AF634D30}" name="Column2" dataDxfId="328"/>
    <tableColumn id="16" xr3:uid="{07F47B71-DFEB-4977-9E97-037092857ED3}" name="Mã SP" dataDxfId="327"/>
    <tableColumn id="13" xr3:uid="{F803554F-1C5F-4D38-9693-3484EFB17E23}" name="Tên SP_x000a_(PO)" dataDxfId="326"/>
    <tableColumn id="6" xr3:uid="{6B724CCB-E607-4846-8BF4-14F1FF6B1EBF}" name="Ngày" dataDxfId="325"/>
    <tableColumn id="7" xr3:uid="{0792F774-7BB3-48D4-8547-9FFF05772668}" name="Số PO" dataDxfId="324"/>
    <tableColumn id="2" xr3:uid="{6E9192B8-590B-48B2-BEA2-2FA3507FC6A7}" name="% còn lại chưa giao so với DH" dataDxfId="323" dataCellStyle="Percent"/>
    <tableColumn id="9" xr3:uid="{03852748-D849-49E2-94EF-8A0A39FBD718}" name="Số  lượng trên ĐH" dataDxfId="322"/>
    <tableColumn id="10" xr3:uid="{E8E02470-C99E-42E3-8A35-AA680E45DCBA}" name="Số  lượng giao" dataDxfId="321" dataCellStyle="Comma">
      <calculatedColumnFormula>SUM(I5:I6)</calculatedColumnFormula>
    </tableColumn>
    <tableColumn id="11" xr3:uid="{202E6A5F-31B3-4B09-ACA7-0A86322F169F}" name="Còn lại so với ĐH" dataDxfId="320"/>
    <tableColumn id="12" xr3:uid="{FB017911-FCF5-43E9-BD07-8B49704D8E0E}" name="Đơn giá" dataDxfId="319"/>
    <tableColumn id="19" xr3:uid="{C935F222-290A-4B65-BC73-119C7A34F50D}" name="Hoàn thành" dataDxfId="318"/>
    <tableColumn id="14" xr3:uid="{1FB6C0AA-194A-42A8-BCA3-2C8B996F021F}" name="Ghi chú" dataDxfId="317"/>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FA726BD-3AF5-40DE-839F-2C5183689411}" name="Tracking_SI59" displayName="Tracking_SI59" ref="A3:M448" totalsRowShown="0" dataDxfId="315" headerRowBorderDxfId="316" tableBorderDxfId="314">
  <autoFilter ref="A3:M448" xr:uid="{88CC7CF6-889F-46FE-AB4A-A8D9F60E50DC}"/>
  <tableColumns count="13">
    <tableColumn id="5" xr3:uid="{014B2043-D6CD-466F-BE27-A5E62322FD53}" name="Phân loại" dataDxfId="313"/>
    <tableColumn id="16" xr3:uid="{784CED37-DCB0-4BA4-B061-0111BB9F7A21}" name="Mã SP" dataDxfId="312"/>
    <tableColumn id="13" xr3:uid="{BC0EA3B3-7479-4487-8A3F-7172803CFBF0}" name="Tên SP_x000a_(PO)" dataDxfId="311"/>
    <tableColumn id="6" xr3:uid="{83DA68B3-430C-41AC-90C9-CA7C02505F63}" name="Ngày giao hàng" dataDxfId="310"/>
    <tableColumn id="7" xr3:uid="{57A59F9E-7785-4A0D-895C-619A5DF4C085}" name="Số PO" dataDxfId="309"/>
    <tableColumn id="9" xr3:uid="{981229B1-2264-4646-951F-E5A6802F7EB7}" name="Số  lượng trên ĐH" dataDxfId="308"/>
    <tableColumn id="3" xr3:uid="{59C25176-3818-41FD-A705-E63686A3B77F}" name="% còn lại cần giao" dataDxfId="307" dataCellStyle="Percent"/>
    <tableColumn id="10" xr3:uid="{9A624EB9-C859-4191-B7AD-BE7513B3FEB7}" name="Số  lượng giao" dataDxfId="306" dataCellStyle="Comma"/>
    <tableColumn id="11" xr3:uid="{4A431E4B-0BB4-4D4C-8CDF-50BC6C8B1411}" name="Còn lại so với ĐH" dataDxfId="305"/>
    <tableColumn id="12" xr3:uid="{CC64A30D-A827-4CBE-A01B-DF3C7EDE8BCB}" name="Đơn giá" dataDxfId="304"/>
    <tableColumn id="19" xr3:uid="{01318179-43EA-4A7A-91F5-C62E7E6E6C6A}" name="Hoàn thành" dataDxfId="303"/>
    <tableColumn id="14" xr3:uid="{91CA207B-94C0-445E-BB89-DFEA85F38B4C}" name="Ghi chú" dataDxfId="302"/>
    <tableColumn id="1" xr3:uid="{3B2DA287-1C9F-4DD3-AE02-39462698CBA9}" name="Column2" dataDxfId="301" dataCellStyle="Percent"/>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mments" Target="../comments2.xml"/><Relationship Id="rId5" Type="http://schemas.microsoft.com/office/2007/relationships/slicer" Target="../slicers/slicer3.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comments" Target="../comments3.xml"/><Relationship Id="rId5" Type="http://schemas.microsoft.com/office/2007/relationships/slicer" Target="../slicers/slicer6.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7B59-036F-4E44-A696-4F33AE41F1DA}">
  <sheetPr codeName="Sheet2"/>
  <dimension ref="A1:W821"/>
  <sheetViews>
    <sheetView showGridLines="0" zoomScale="70" zoomScaleNormal="70" workbookViewId="0">
      <pane ySplit="3" topLeftCell="A692" activePane="bottomLeft" state="frozen"/>
      <selection pane="bottomLeft" activeCell="I701" sqref="I701"/>
    </sheetView>
  </sheetViews>
  <sheetFormatPr defaultRowHeight="14.4"/>
  <cols>
    <col min="1" max="1" width="14.6640625" style="59" customWidth="1"/>
    <col min="2" max="2" width="26.109375" style="22" customWidth="1"/>
    <col min="3" max="3" width="9.88671875" style="51" customWidth="1"/>
    <col min="4" max="5" width="25.88671875" style="30" customWidth="1"/>
    <col min="6" max="6" width="25.88671875" hidden="1" customWidth="1"/>
    <col min="7" max="7" width="17.33203125" customWidth="1"/>
    <col min="8" max="8" width="21.5546875" style="9" customWidth="1"/>
    <col min="9" max="9" width="13.88671875" style="18" customWidth="1"/>
    <col min="10" max="10" width="17.109375" style="147" hidden="1" customWidth="1"/>
    <col min="11" max="11" width="16.88671875" customWidth="1"/>
    <col min="12" max="12" width="20.6640625" style="322" customWidth="1"/>
    <col min="13" max="13" width="15.5546875" customWidth="1"/>
    <col min="14" max="14" width="14" customWidth="1"/>
    <col min="15" max="15" width="0.44140625" customWidth="1"/>
    <col min="16" max="16" width="9.6640625" customWidth="1"/>
    <col min="17" max="17" width="9.88671875" customWidth="1"/>
    <col min="18" max="18" width="12.5546875" customWidth="1"/>
    <col min="19" max="19" width="14.33203125" customWidth="1"/>
    <col min="20" max="20" width="15.33203125" customWidth="1"/>
    <col min="21" max="22" width="11.88671875" customWidth="1"/>
    <col min="25" max="25" width="10.33203125" customWidth="1"/>
    <col min="26" max="26" width="16" customWidth="1"/>
  </cols>
  <sheetData>
    <row r="1" spans="1:13" ht="31.2">
      <c r="A1" s="845" t="s">
        <v>134</v>
      </c>
      <c r="B1" s="845"/>
      <c r="C1" s="845"/>
      <c r="D1" s="845"/>
      <c r="E1" s="845"/>
      <c r="F1" s="845"/>
      <c r="G1" s="845"/>
      <c r="H1" s="845"/>
      <c r="I1" s="845"/>
      <c r="J1" s="845"/>
      <c r="K1" s="845"/>
    </row>
    <row r="2" spans="1:13" ht="23.25" customHeight="1">
      <c r="A2" s="57"/>
      <c r="C2" s="46"/>
      <c r="D2" s="214"/>
      <c r="E2" s="1"/>
      <c r="F2" s="2"/>
      <c r="G2" s="17"/>
      <c r="H2" s="184"/>
      <c r="I2" s="3"/>
      <c r="J2" s="128"/>
    </row>
    <row r="3" spans="1:13" ht="63.75" customHeight="1">
      <c r="A3" s="60" t="s">
        <v>106</v>
      </c>
      <c r="B3" s="225" t="s">
        <v>0</v>
      </c>
      <c r="C3" s="226" t="s">
        <v>108</v>
      </c>
      <c r="D3" s="227" t="s">
        <v>1</v>
      </c>
      <c r="E3" s="228" t="s">
        <v>114</v>
      </c>
      <c r="F3" s="21" t="s">
        <v>2</v>
      </c>
      <c r="G3" s="229" t="s">
        <v>3</v>
      </c>
      <c r="H3" s="230" t="s">
        <v>4</v>
      </c>
      <c r="I3" s="231" t="s">
        <v>119</v>
      </c>
      <c r="J3" s="232" t="s">
        <v>5</v>
      </c>
      <c r="K3" s="233" t="s">
        <v>117</v>
      </c>
      <c r="L3" s="328" t="s">
        <v>107</v>
      </c>
      <c r="M3" s="233" t="s">
        <v>180</v>
      </c>
    </row>
    <row r="4" spans="1:13" ht="21" customHeight="1">
      <c r="A4" s="58" t="s">
        <v>106</v>
      </c>
      <c r="B4" s="61"/>
      <c r="C4" s="62" t="s">
        <v>6</v>
      </c>
      <c r="D4" s="115"/>
      <c r="E4" s="124"/>
      <c r="F4" s="63"/>
      <c r="G4" s="63"/>
      <c r="H4" s="63"/>
      <c r="I4" s="209"/>
      <c r="J4" s="63"/>
      <c r="K4" s="129"/>
      <c r="L4" s="63"/>
      <c r="M4" s="323" t="e">
        <f>Tracking_SI[[#This Row],[Chênh lệch 
(thừa so với ĐH)]]/Tracking_SI[[#This Row],[Số  lượng trên ĐH]]</f>
        <v>#DIV/0!</v>
      </c>
    </row>
    <row r="5" spans="1:13" ht="19.5" customHeight="1">
      <c r="A5" s="58" t="s">
        <v>115</v>
      </c>
      <c r="B5" s="23"/>
      <c r="C5" s="47"/>
      <c r="D5" s="111">
        <v>45575</v>
      </c>
      <c r="E5" s="24" t="s">
        <v>7</v>
      </c>
      <c r="F5" s="25" t="s">
        <v>8</v>
      </c>
      <c r="G5" s="24">
        <v>1212</v>
      </c>
      <c r="H5" s="163">
        <f>SUM(H6:H9)</f>
        <v>805</v>
      </c>
      <c r="I5" s="191">
        <f>G5-H5</f>
        <v>407</v>
      </c>
      <c r="J5" s="24">
        <v>34700</v>
      </c>
      <c r="K5" s="127" t="s">
        <v>215</v>
      </c>
      <c r="L5" s="24"/>
      <c r="M5" s="323">
        <f>Tracking_SI[[#This Row],[Chênh lệch 
(thừa so với ĐH)]]/Tracking_SI[[#This Row],[Số  lượng trên ĐH]]</f>
        <v>0.33580858085808579</v>
      </c>
    </row>
    <row r="6" spans="1:13" ht="19.5" customHeight="1">
      <c r="A6" s="57"/>
      <c r="C6" s="46"/>
      <c r="D6" s="108">
        <v>45660</v>
      </c>
      <c r="E6" s="26"/>
      <c r="F6" s="27"/>
      <c r="G6" s="26"/>
      <c r="H6" s="164">
        <v>805</v>
      </c>
      <c r="I6" s="186"/>
      <c r="J6" s="26"/>
      <c r="K6" s="131"/>
      <c r="L6" s="26"/>
      <c r="M6" s="323" t="e">
        <f>Tracking_SI[[#This Row],[Chênh lệch 
(thừa so với ĐH)]]/Tracking_SI[[#This Row],[Số  lượng trên ĐH]]</f>
        <v>#DIV/0!</v>
      </c>
    </row>
    <row r="7" spans="1:13" ht="19.5" customHeight="1">
      <c r="A7" s="57"/>
      <c r="C7" s="46"/>
      <c r="D7" s="108"/>
      <c r="E7" s="26"/>
      <c r="F7" s="27"/>
      <c r="G7" s="26"/>
      <c r="H7" s="164"/>
      <c r="I7" s="187"/>
      <c r="J7" s="26"/>
      <c r="K7" s="131"/>
      <c r="L7" s="26"/>
      <c r="M7" s="323" t="e">
        <f>Tracking_SI[[#This Row],[Chênh lệch 
(thừa so với ĐH)]]/Tracking_SI[[#This Row],[Số  lượng trên ĐH]]</f>
        <v>#DIV/0!</v>
      </c>
    </row>
    <row r="8" spans="1:13" ht="19.5" customHeight="1">
      <c r="A8" s="57"/>
      <c r="C8" s="46"/>
      <c r="D8" s="108"/>
      <c r="E8" s="26"/>
      <c r="F8" s="27"/>
      <c r="G8" s="26"/>
      <c r="H8" s="164"/>
      <c r="I8" s="186"/>
      <c r="J8" s="26"/>
      <c r="K8" s="131"/>
      <c r="L8" s="26"/>
      <c r="M8" s="323" t="e">
        <f>Tracking_SI[[#This Row],[Chênh lệch 
(thừa so với ĐH)]]/Tracking_SI[[#This Row],[Số  lượng trên ĐH]]</f>
        <v>#DIV/0!</v>
      </c>
    </row>
    <row r="9" spans="1:13" ht="19.5" customHeight="1">
      <c r="A9" s="57"/>
      <c r="C9" s="46"/>
      <c r="D9" s="108"/>
      <c r="E9" s="26"/>
      <c r="F9" s="27"/>
      <c r="G9" s="26"/>
      <c r="H9" s="164"/>
      <c r="I9" s="186"/>
      <c r="J9" s="26"/>
      <c r="K9" s="131"/>
      <c r="L9" s="26"/>
      <c r="M9" s="323" t="e">
        <f>Tracking_SI[[#This Row],[Chênh lệch 
(thừa so với ĐH)]]/Tracking_SI[[#This Row],[Số  lượng trên ĐH]]</f>
        <v>#DIV/0!</v>
      </c>
    </row>
    <row r="10" spans="1:13" ht="21" customHeight="1">
      <c r="A10" s="58" t="s">
        <v>106</v>
      </c>
      <c r="B10" s="61"/>
      <c r="C10" s="62" t="s">
        <v>9</v>
      </c>
      <c r="D10" s="115"/>
      <c r="E10" s="125"/>
      <c r="F10" s="64"/>
      <c r="G10" s="64"/>
      <c r="H10" s="64"/>
      <c r="I10" s="210"/>
      <c r="J10" s="66"/>
      <c r="K10" s="132"/>
      <c r="L10" s="66"/>
      <c r="M10" s="323" t="e">
        <f>Tracking_SI[[#This Row],[Chênh lệch 
(thừa so với ĐH)]]/Tracking_SI[[#This Row],[Số  lượng trên ĐH]]</f>
        <v>#DIV/0!</v>
      </c>
    </row>
    <row r="11" spans="1:13" s="7" customFormat="1" ht="21" customHeight="1">
      <c r="A11" s="57" t="s">
        <v>115</v>
      </c>
      <c r="B11" s="22"/>
      <c r="C11" s="46"/>
      <c r="D11" s="111">
        <v>45776</v>
      </c>
      <c r="E11" s="25" t="s">
        <v>10</v>
      </c>
      <c r="F11" s="25" t="s">
        <v>8</v>
      </c>
      <c r="G11" s="24">
        <v>3000</v>
      </c>
      <c r="H11" s="163"/>
      <c r="I11" s="192">
        <f>G11-H11</f>
        <v>3000</v>
      </c>
      <c r="J11" s="24">
        <v>37400</v>
      </c>
      <c r="K11" s="130"/>
      <c r="L11" s="29"/>
      <c r="M11" s="323">
        <f>Tracking_SI[[#This Row],[Chênh lệch 
(thừa so với ĐH)]]/Tracking_SI[[#This Row],[Số  lượng trên ĐH]]</f>
        <v>1</v>
      </c>
    </row>
    <row r="12" spans="1:13" s="7" customFormat="1" ht="21" customHeight="1">
      <c r="A12" s="57"/>
      <c r="B12" s="22"/>
      <c r="C12" s="46"/>
      <c r="D12" s="116"/>
      <c r="E12" s="30"/>
      <c r="F12" s="30"/>
      <c r="G12" s="31"/>
      <c r="H12" s="166"/>
      <c r="I12" s="188"/>
      <c r="J12" s="32"/>
      <c r="K12" s="133"/>
      <c r="L12" s="32"/>
      <c r="M12" s="323" t="e">
        <f>Tracking_SI[[#This Row],[Chênh lệch 
(thừa so với ĐH)]]/Tracking_SI[[#This Row],[Số  lượng trên ĐH]]</f>
        <v>#DIV/0!</v>
      </c>
    </row>
    <row r="13" spans="1:13" s="7" customFormat="1" ht="21" customHeight="1">
      <c r="A13" s="57"/>
      <c r="B13" s="22"/>
      <c r="C13" s="46"/>
      <c r="D13" s="113"/>
      <c r="E13" s="28"/>
      <c r="F13" s="28"/>
      <c r="G13" s="29"/>
      <c r="H13" s="165"/>
      <c r="I13" s="188"/>
      <c r="J13" s="29"/>
      <c r="K13" s="127"/>
      <c r="L13" s="29"/>
      <c r="M13" s="323" t="e">
        <f>Tracking_SI[[#This Row],[Chênh lệch 
(thừa so với ĐH)]]/Tracking_SI[[#This Row],[Số  lượng trên ĐH]]</f>
        <v>#DIV/0!</v>
      </c>
    </row>
    <row r="14" spans="1:13" ht="21" customHeight="1">
      <c r="A14" s="58" t="s">
        <v>106</v>
      </c>
      <c r="B14" s="61"/>
      <c r="C14" s="62" t="s">
        <v>11</v>
      </c>
      <c r="D14" s="115"/>
      <c r="E14" s="125"/>
      <c r="F14" s="64"/>
      <c r="G14" s="64"/>
      <c r="H14" s="64"/>
      <c r="I14" s="210"/>
      <c r="J14" s="66"/>
      <c r="K14" s="132"/>
      <c r="L14" s="66"/>
      <c r="M14" s="323" t="e">
        <f>Tracking_SI[[#This Row],[Chênh lệch 
(thừa so với ĐH)]]/Tracking_SI[[#This Row],[Số  lượng trên ĐH]]</f>
        <v>#DIV/0!</v>
      </c>
    </row>
    <row r="15" spans="1:13" ht="21" customHeight="1">
      <c r="A15" s="57" t="s">
        <v>115</v>
      </c>
      <c r="C15" s="46"/>
      <c r="D15" s="111">
        <v>45259</v>
      </c>
      <c r="E15" s="25" t="s">
        <v>12</v>
      </c>
      <c r="F15" s="25" t="s">
        <v>8</v>
      </c>
      <c r="G15" s="24">
        <v>3976</v>
      </c>
      <c r="H15" s="163">
        <f>SUM(H16:H18)</f>
        <v>0</v>
      </c>
      <c r="I15" s="192">
        <f>G15-H15</f>
        <v>3976</v>
      </c>
      <c r="J15" s="24">
        <v>33400</v>
      </c>
      <c r="K15" s="130"/>
      <c r="L15" s="32"/>
      <c r="M15" s="323">
        <f>Tracking_SI[[#This Row],[Chênh lệch 
(thừa so với ĐH)]]/Tracking_SI[[#This Row],[Số  lượng trên ĐH]]</f>
        <v>1</v>
      </c>
    </row>
    <row r="16" spans="1:13" ht="21" customHeight="1">
      <c r="A16" s="57"/>
      <c r="C16" s="46"/>
      <c r="D16" s="116"/>
      <c r="E16" s="27" t="s">
        <v>12</v>
      </c>
      <c r="F16" s="30"/>
      <c r="G16" s="31"/>
      <c r="H16" s="166"/>
      <c r="I16" s="188"/>
      <c r="J16" s="32"/>
      <c r="K16" s="133"/>
      <c r="L16" s="32"/>
      <c r="M16" s="323" t="e">
        <f>Tracking_SI[[#This Row],[Chênh lệch 
(thừa so với ĐH)]]/Tracking_SI[[#This Row],[Số  lượng trên ĐH]]</f>
        <v>#DIV/0!</v>
      </c>
    </row>
    <row r="17" spans="1:13" ht="21" customHeight="1">
      <c r="A17" s="57"/>
      <c r="C17" s="46"/>
      <c r="D17" s="116"/>
      <c r="E17" s="27" t="s">
        <v>12</v>
      </c>
      <c r="F17" s="30"/>
      <c r="G17" s="31"/>
      <c r="H17" s="166"/>
      <c r="I17" s="188"/>
      <c r="J17" s="32"/>
      <c r="K17" s="133"/>
      <c r="L17" s="32"/>
      <c r="M17" s="323" t="e">
        <f>Tracking_SI[[#This Row],[Chênh lệch 
(thừa so với ĐH)]]/Tracking_SI[[#This Row],[Số  lượng trên ĐH]]</f>
        <v>#DIV/0!</v>
      </c>
    </row>
    <row r="18" spans="1:13" ht="21" customHeight="1">
      <c r="A18" s="57"/>
      <c r="C18" s="46"/>
      <c r="D18" s="116"/>
      <c r="E18" s="27" t="s">
        <v>12</v>
      </c>
      <c r="F18" s="30"/>
      <c r="G18" s="31"/>
      <c r="H18" s="166"/>
      <c r="I18" s="185"/>
      <c r="J18" s="32"/>
      <c r="K18" s="133"/>
      <c r="L18" s="32"/>
      <c r="M18" s="323" t="e">
        <f>Tracking_SI[[#This Row],[Chênh lệch 
(thừa so với ĐH)]]/Tracking_SI[[#This Row],[Số  lượng trên ĐH]]</f>
        <v>#DIV/0!</v>
      </c>
    </row>
    <row r="19" spans="1:13" ht="21" customHeight="1">
      <c r="A19" s="58" t="s">
        <v>106</v>
      </c>
      <c r="B19" s="151" t="s">
        <v>122</v>
      </c>
      <c r="C19" s="62" t="s">
        <v>126</v>
      </c>
      <c r="D19" s="115"/>
      <c r="E19" s="65"/>
      <c r="F19" s="65"/>
      <c r="G19" s="68"/>
      <c r="H19" s="68"/>
      <c r="I19" s="211"/>
      <c r="J19" s="66"/>
      <c r="K19" s="132"/>
      <c r="L19" s="66"/>
      <c r="M19" s="323" t="e">
        <f>Tracking_SI[[#This Row],[Chênh lệch 
(thừa so với ĐH)]]/Tracking_SI[[#This Row],[Số  lượng trên ĐH]]</f>
        <v>#DIV/0!</v>
      </c>
    </row>
    <row r="20" spans="1:13" ht="21" customHeight="1">
      <c r="A20" s="58" t="s">
        <v>115</v>
      </c>
      <c r="B20" s="1" t="s">
        <v>122</v>
      </c>
      <c r="C20" s="46"/>
      <c r="D20" s="183">
        <v>45600</v>
      </c>
      <c r="E20" s="194" t="s">
        <v>13</v>
      </c>
      <c r="F20" s="28" t="s">
        <v>8</v>
      </c>
      <c r="G20" s="149">
        <v>8313</v>
      </c>
      <c r="H20" s="172">
        <f>SUM(H21:H23)</f>
        <v>8313</v>
      </c>
      <c r="I20" s="199">
        <f>G20-H20</f>
        <v>0</v>
      </c>
      <c r="J20" s="149">
        <v>36400</v>
      </c>
      <c r="K20" s="195" t="s">
        <v>116</v>
      </c>
      <c r="L20" s="29"/>
      <c r="M20" s="323">
        <f>Tracking_SI[[#This Row],[Chênh lệch 
(thừa so với ĐH)]]/Tracking_SI[[#This Row],[Số  lượng trên ĐH]]</f>
        <v>0</v>
      </c>
    </row>
    <row r="21" spans="1:13" ht="21" customHeight="1">
      <c r="A21" s="57"/>
      <c r="B21" s="1" t="s">
        <v>122</v>
      </c>
      <c r="C21" s="46"/>
      <c r="D21" s="116">
        <v>45660</v>
      </c>
      <c r="F21" s="30"/>
      <c r="G21" s="31"/>
      <c r="H21" s="166">
        <v>4021</v>
      </c>
      <c r="I21" s="187"/>
      <c r="J21" s="32"/>
      <c r="K21" s="127" t="s">
        <v>118</v>
      </c>
      <c r="L21" s="32"/>
      <c r="M21" s="323" t="e">
        <f>Tracking_SI[[#This Row],[Chênh lệch 
(thừa so với ĐH)]]/Tracking_SI[[#This Row],[Số  lượng trên ĐH]]</f>
        <v>#DIV/0!</v>
      </c>
    </row>
    <row r="22" spans="1:13" ht="21" customHeight="1">
      <c r="A22" s="57"/>
      <c r="B22" s="1" t="s">
        <v>122</v>
      </c>
      <c r="C22" s="46"/>
      <c r="D22" s="116">
        <v>45675</v>
      </c>
      <c r="F22" s="30"/>
      <c r="G22" s="31"/>
      <c r="H22" s="166">
        <v>3095</v>
      </c>
      <c r="I22" s="186"/>
      <c r="J22" s="32"/>
      <c r="K22" s="127" t="s">
        <v>118</v>
      </c>
      <c r="L22" s="32"/>
      <c r="M22" s="323" t="e">
        <f>Tracking_SI[[#This Row],[Chênh lệch 
(thừa so với ĐH)]]/Tracking_SI[[#This Row],[Số  lượng trên ĐH]]</f>
        <v>#DIV/0!</v>
      </c>
    </row>
    <row r="23" spans="1:13" ht="21" customHeight="1">
      <c r="A23" s="57"/>
      <c r="B23" s="1" t="s">
        <v>122</v>
      </c>
      <c r="C23" s="46"/>
      <c r="D23" s="116">
        <v>45692</v>
      </c>
      <c r="F23" s="30"/>
      <c r="G23" s="31"/>
      <c r="H23" s="166">
        <v>1197</v>
      </c>
      <c r="I23" s="186"/>
      <c r="J23" s="32"/>
      <c r="K23" s="127" t="s">
        <v>118</v>
      </c>
      <c r="L23" s="32"/>
      <c r="M23" s="323" t="e">
        <f>Tracking_SI[[#This Row],[Chênh lệch 
(thừa so với ĐH)]]/Tracking_SI[[#This Row],[Số  lượng trên ĐH]]</f>
        <v>#DIV/0!</v>
      </c>
    </row>
    <row r="24" spans="1:13" ht="21" customHeight="1">
      <c r="A24" s="58" t="s">
        <v>115</v>
      </c>
      <c r="B24" s="1" t="s">
        <v>122</v>
      </c>
      <c r="C24" s="46"/>
      <c r="D24" s="183">
        <v>45651</v>
      </c>
      <c r="E24" s="194" t="s">
        <v>14</v>
      </c>
      <c r="F24" s="28" t="s">
        <v>8</v>
      </c>
      <c r="G24" s="149">
        <v>10000</v>
      </c>
      <c r="H24" s="172">
        <f>SUM(H25:H27)</f>
        <v>10000</v>
      </c>
      <c r="I24" s="200">
        <f>G24-H24</f>
        <v>0</v>
      </c>
      <c r="J24" s="149">
        <v>37400</v>
      </c>
      <c r="K24" s="195" t="s">
        <v>116</v>
      </c>
      <c r="L24" s="29"/>
      <c r="M24" s="323">
        <f>Tracking_SI[[#This Row],[Chênh lệch 
(thừa so với ĐH)]]/Tracking_SI[[#This Row],[Số  lượng trên ĐH]]</f>
        <v>0</v>
      </c>
    </row>
    <row r="25" spans="1:13" ht="21" customHeight="1">
      <c r="A25" s="57"/>
      <c r="B25" s="1" t="s">
        <v>122</v>
      </c>
      <c r="C25" s="46"/>
      <c r="D25" s="116">
        <v>45692</v>
      </c>
      <c r="F25" s="30"/>
      <c r="G25" s="31"/>
      <c r="H25" s="166">
        <f>3106-H23</f>
        <v>1909</v>
      </c>
      <c r="I25" s="188"/>
      <c r="J25" s="32"/>
      <c r="K25" s="127" t="s">
        <v>118</v>
      </c>
      <c r="L25" s="32"/>
      <c r="M25" s="323" t="e">
        <f>Tracking_SI[[#This Row],[Chênh lệch 
(thừa so với ĐH)]]/Tracking_SI[[#This Row],[Số  lượng trên ĐH]]</f>
        <v>#DIV/0!</v>
      </c>
    </row>
    <row r="26" spans="1:13" ht="21" customHeight="1">
      <c r="A26" s="57"/>
      <c r="B26" s="1" t="s">
        <v>122</v>
      </c>
      <c r="C26" s="46"/>
      <c r="D26" s="116">
        <v>45699</v>
      </c>
      <c r="F26" s="30"/>
      <c r="G26" s="31"/>
      <c r="H26" s="166">
        <v>3071</v>
      </c>
      <c r="I26" s="188"/>
      <c r="J26" s="32"/>
      <c r="K26" s="127" t="s">
        <v>118</v>
      </c>
      <c r="L26" s="32"/>
      <c r="M26" s="323" t="e">
        <f>Tracking_SI[[#This Row],[Chênh lệch 
(thừa so với ĐH)]]/Tracking_SI[[#This Row],[Số  lượng trên ĐH]]</f>
        <v>#DIV/0!</v>
      </c>
    </row>
    <row r="27" spans="1:13" ht="21" customHeight="1">
      <c r="A27" s="57"/>
      <c r="B27" s="1" t="s">
        <v>122</v>
      </c>
      <c r="C27" s="46"/>
      <c r="D27" s="116">
        <v>45710</v>
      </c>
      <c r="F27" s="30"/>
      <c r="G27" s="31"/>
      <c r="H27" s="166">
        <v>5020</v>
      </c>
      <c r="I27" s="188"/>
      <c r="J27" s="32"/>
      <c r="K27" s="127" t="s">
        <v>118</v>
      </c>
      <c r="L27" s="32"/>
      <c r="M27" s="323" t="e">
        <f>Tracking_SI[[#This Row],[Chênh lệch 
(thừa so với ĐH)]]/Tracking_SI[[#This Row],[Số  lượng trên ĐH]]</f>
        <v>#DIV/0!</v>
      </c>
    </row>
    <row r="28" spans="1:13" ht="21" customHeight="1">
      <c r="A28" s="57" t="s">
        <v>115</v>
      </c>
      <c r="B28" s="1" t="s">
        <v>122</v>
      </c>
      <c r="C28" s="46"/>
      <c r="D28" s="183">
        <v>45670</v>
      </c>
      <c r="E28" s="194" t="s">
        <v>15</v>
      </c>
      <c r="F28" s="28" t="s">
        <v>8</v>
      </c>
      <c r="G28" s="149">
        <v>10000</v>
      </c>
      <c r="H28" s="172">
        <f>SUM(H29:H33)</f>
        <v>10000</v>
      </c>
      <c r="I28" s="200">
        <f>G28-H28</f>
        <v>0</v>
      </c>
      <c r="J28" s="149">
        <v>37400</v>
      </c>
      <c r="K28" s="195" t="s">
        <v>116</v>
      </c>
      <c r="L28" s="29"/>
      <c r="M28" s="323">
        <f>Tracking_SI[[#This Row],[Chênh lệch 
(thừa so với ĐH)]]/Tracking_SI[[#This Row],[Số  lượng trên ĐH]]</f>
        <v>0</v>
      </c>
    </row>
    <row r="29" spans="1:13" ht="21" customHeight="1">
      <c r="A29" s="57"/>
      <c r="B29" s="1" t="s">
        <v>122</v>
      </c>
      <c r="C29" s="46"/>
      <c r="D29" s="116">
        <v>45710</v>
      </c>
      <c r="F29" s="30"/>
      <c r="G29" s="31"/>
      <c r="H29" s="166">
        <v>2699</v>
      </c>
      <c r="I29" s="188"/>
      <c r="J29" s="32"/>
      <c r="K29" s="127" t="s">
        <v>118</v>
      </c>
      <c r="L29" s="32"/>
      <c r="M29" s="323" t="e">
        <f>Tracking_SI[[#This Row],[Chênh lệch 
(thừa so với ĐH)]]/Tracking_SI[[#This Row],[Số  lượng trên ĐH]]</f>
        <v>#DIV/0!</v>
      </c>
    </row>
    <row r="30" spans="1:13" ht="21" customHeight="1">
      <c r="A30" s="57"/>
      <c r="B30" s="1" t="s">
        <v>122</v>
      </c>
      <c r="C30" s="46"/>
      <c r="D30" s="116">
        <v>45713</v>
      </c>
      <c r="F30" s="30"/>
      <c r="G30" s="31"/>
      <c r="H30" s="166">
        <v>1082</v>
      </c>
      <c r="I30" s="188"/>
      <c r="J30" s="32"/>
      <c r="K30" s="127" t="s">
        <v>118</v>
      </c>
      <c r="L30" s="32"/>
      <c r="M30" s="323" t="e">
        <f>Tracking_SI[[#This Row],[Chênh lệch 
(thừa so với ĐH)]]/Tracking_SI[[#This Row],[Số  lượng trên ĐH]]</f>
        <v>#DIV/0!</v>
      </c>
    </row>
    <row r="31" spans="1:13" ht="21" customHeight="1">
      <c r="A31" s="57"/>
      <c r="B31" s="1" t="s">
        <v>122</v>
      </c>
      <c r="C31" s="46"/>
      <c r="D31" s="116">
        <v>45719</v>
      </c>
      <c r="F31" s="30"/>
      <c r="G31" s="31"/>
      <c r="H31" s="166">
        <v>2461</v>
      </c>
      <c r="I31" s="188"/>
      <c r="J31" s="32"/>
      <c r="K31" s="127" t="s">
        <v>118</v>
      </c>
      <c r="L31" s="32"/>
      <c r="M31" s="323" t="e">
        <f>Tracking_SI[[#This Row],[Chênh lệch 
(thừa so với ĐH)]]/Tracking_SI[[#This Row],[Số  lượng trên ĐH]]</f>
        <v>#DIV/0!</v>
      </c>
    </row>
    <row r="32" spans="1:13" ht="21" customHeight="1">
      <c r="A32" s="57"/>
      <c r="B32" s="1" t="s">
        <v>122</v>
      </c>
      <c r="C32" s="46"/>
      <c r="D32" s="116">
        <v>45747</v>
      </c>
      <c r="F32" s="30"/>
      <c r="G32" s="31"/>
      <c r="H32" s="166">
        <v>3083</v>
      </c>
      <c r="I32" s="185"/>
      <c r="J32" s="32"/>
      <c r="K32" s="127" t="s">
        <v>118</v>
      </c>
      <c r="L32" s="32"/>
      <c r="M32" s="323" t="e">
        <f>Tracking_SI[[#This Row],[Chênh lệch 
(thừa so với ĐH)]]/Tracking_SI[[#This Row],[Số  lượng trên ĐH]]</f>
        <v>#DIV/0!</v>
      </c>
    </row>
    <row r="33" spans="1:13" ht="21" customHeight="1">
      <c r="A33" s="57"/>
      <c r="B33" s="1" t="s">
        <v>122</v>
      </c>
      <c r="C33" s="46"/>
      <c r="D33" s="116">
        <v>45752</v>
      </c>
      <c r="F33" s="30"/>
      <c r="G33" s="31"/>
      <c r="H33" s="166">
        <v>675</v>
      </c>
      <c r="I33" s="186"/>
      <c r="J33" s="32"/>
      <c r="K33" s="127" t="s">
        <v>118</v>
      </c>
      <c r="L33" s="32"/>
      <c r="M33" s="323" t="e">
        <f>Tracking_SI[[#This Row],[Chênh lệch 
(thừa so với ĐH)]]/Tracking_SI[[#This Row],[Số  lượng trên ĐH]]</f>
        <v>#DIV/0!</v>
      </c>
    </row>
    <row r="34" spans="1:13" ht="21" customHeight="1">
      <c r="A34" s="58" t="s">
        <v>115</v>
      </c>
      <c r="B34" s="1" t="s">
        <v>122</v>
      </c>
      <c r="C34" s="46"/>
      <c r="D34" s="183">
        <v>45698</v>
      </c>
      <c r="E34" s="194" t="s">
        <v>16</v>
      </c>
      <c r="F34" s="28" t="s">
        <v>8</v>
      </c>
      <c r="G34" s="149">
        <v>15000</v>
      </c>
      <c r="H34" s="172">
        <f>SUM(H35:H43)</f>
        <v>15576</v>
      </c>
      <c r="I34" s="199">
        <f>G34-H34</f>
        <v>-576</v>
      </c>
      <c r="J34" s="149">
        <v>37400</v>
      </c>
      <c r="K34" s="195" t="s">
        <v>116</v>
      </c>
      <c r="L34" s="29"/>
      <c r="M34" s="323">
        <f>Tracking_SI[[#This Row],[Chênh lệch 
(thừa so với ĐH)]]/Tracking_SI[[#This Row],[Số  lượng trên ĐH]]</f>
        <v>-3.8399999999999997E-2</v>
      </c>
    </row>
    <row r="35" spans="1:13" ht="21" customHeight="1">
      <c r="A35" s="57"/>
      <c r="B35" s="1" t="s">
        <v>122</v>
      </c>
      <c r="C35" s="46"/>
      <c r="D35" s="116">
        <v>45752</v>
      </c>
      <c r="F35" s="30"/>
      <c r="G35" s="31"/>
      <c r="H35" s="166">
        <v>2895</v>
      </c>
      <c r="I35" s="187"/>
      <c r="J35" s="32"/>
      <c r="K35" s="127" t="s">
        <v>118</v>
      </c>
      <c r="L35" s="32"/>
      <c r="M35" s="323" t="e">
        <f>Tracking_SI[[#This Row],[Chênh lệch 
(thừa so với ĐH)]]/Tracking_SI[[#This Row],[Số  lượng trên ĐH]]</f>
        <v>#DIV/0!</v>
      </c>
    </row>
    <row r="36" spans="1:13" ht="21" customHeight="1">
      <c r="A36" s="57"/>
      <c r="B36" s="1" t="s">
        <v>122</v>
      </c>
      <c r="C36" s="46"/>
      <c r="D36" s="116">
        <v>45758</v>
      </c>
      <c r="F36" s="30"/>
      <c r="G36" s="31"/>
      <c r="H36" s="166">
        <v>1756</v>
      </c>
      <c r="I36" s="186"/>
      <c r="J36" s="37"/>
      <c r="K36" s="127" t="s">
        <v>118</v>
      </c>
      <c r="L36" s="33" t="s">
        <v>17</v>
      </c>
      <c r="M36" s="323" t="e">
        <f>Tracking_SI[[#This Row],[Chênh lệch 
(thừa so với ĐH)]]/Tracking_SI[[#This Row],[Số  lượng trên ĐH]]</f>
        <v>#DIV/0!</v>
      </c>
    </row>
    <row r="37" spans="1:13" ht="21" customHeight="1">
      <c r="A37" s="57"/>
      <c r="B37" s="1" t="s">
        <v>122</v>
      </c>
      <c r="C37" s="46"/>
      <c r="D37" s="116">
        <v>45759</v>
      </c>
      <c r="F37" s="30"/>
      <c r="G37" s="31"/>
      <c r="H37" s="166">
        <v>1534</v>
      </c>
      <c r="I37" s="186"/>
      <c r="J37" s="33"/>
      <c r="K37" s="127" t="s">
        <v>118</v>
      </c>
      <c r="L37" s="33"/>
      <c r="M37" s="323" t="e">
        <f>Tracking_SI[[#This Row],[Chênh lệch 
(thừa so với ĐH)]]/Tracking_SI[[#This Row],[Số  lượng trên ĐH]]</f>
        <v>#DIV/0!</v>
      </c>
    </row>
    <row r="38" spans="1:13" ht="21" customHeight="1">
      <c r="A38" s="57"/>
      <c r="B38" s="1" t="s">
        <v>122</v>
      </c>
      <c r="C38" s="46"/>
      <c r="D38" s="116">
        <v>45766</v>
      </c>
      <c r="F38" s="30"/>
      <c r="G38" s="31"/>
      <c r="H38" s="166">
        <v>2775</v>
      </c>
      <c r="I38" s="187"/>
      <c r="J38" s="33"/>
      <c r="K38" s="127" t="s">
        <v>118</v>
      </c>
      <c r="L38" s="33"/>
      <c r="M38" s="323" t="e">
        <f>Tracking_SI[[#This Row],[Chênh lệch 
(thừa so với ĐH)]]/Tracking_SI[[#This Row],[Số  lượng trên ĐH]]</f>
        <v>#DIV/0!</v>
      </c>
    </row>
    <row r="39" spans="1:13" ht="21" customHeight="1">
      <c r="A39" s="57"/>
      <c r="B39" s="1" t="s">
        <v>122</v>
      </c>
      <c r="C39" s="46"/>
      <c r="D39" s="116">
        <v>45776</v>
      </c>
      <c r="F39" s="30"/>
      <c r="G39" s="31"/>
      <c r="H39" s="166">
        <v>1525</v>
      </c>
      <c r="I39" s="188"/>
      <c r="J39" s="33"/>
      <c r="K39" s="127" t="s">
        <v>118</v>
      </c>
      <c r="L39" s="33"/>
      <c r="M39" s="323" t="e">
        <f>Tracking_SI[[#This Row],[Chênh lệch 
(thừa so với ĐH)]]/Tracking_SI[[#This Row],[Số  lượng trên ĐH]]</f>
        <v>#DIV/0!</v>
      </c>
    </row>
    <row r="40" spans="1:13" ht="21" customHeight="1">
      <c r="A40" s="57"/>
      <c r="B40" s="1" t="s">
        <v>122</v>
      </c>
      <c r="C40" s="46"/>
      <c r="D40" s="116">
        <v>45783</v>
      </c>
      <c r="F40" s="30"/>
      <c r="G40" s="31"/>
      <c r="H40" s="166">
        <v>1699</v>
      </c>
      <c r="I40" s="188"/>
      <c r="J40" s="33"/>
      <c r="K40" s="127" t="s">
        <v>118</v>
      </c>
      <c r="L40" s="33"/>
      <c r="M40" s="323" t="e">
        <f>Tracking_SI[[#This Row],[Chênh lệch 
(thừa so với ĐH)]]/Tracking_SI[[#This Row],[Số  lượng trên ĐH]]</f>
        <v>#DIV/0!</v>
      </c>
    </row>
    <row r="41" spans="1:13" ht="21" customHeight="1">
      <c r="A41" s="57"/>
      <c r="B41" s="1" t="s">
        <v>122</v>
      </c>
      <c r="C41" s="46"/>
      <c r="D41" s="116">
        <v>45785</v>
      </c>
      <c r="F41" s="30"/>
      <c r="G41" s="31"/>
      <c r="H41" s="166">
        <v>613</v>
      </c>
      <c r="I41" s="188"/>
      <c r="J41" s="33"/>
      <c r="K41" s="127" t="s">
        <v>118</v>
      </c>
      <c r="L41" s="33"/>
      <c r="M41" s="323" t="e">
        <f>Tracking_SI[[#This Row],[Chênh lệch 
(thừa so với ĐH)]]/Tracking_SI[[#This Row],[Số  lượng trên ĐH]]</f>
        <v>#DIV/0!</v>
      </c>
    </row>
    <row r="42" spans="1:13" ht="21" customHeight="1">
      <c r="A42" s="57"/>
      <c r="B42" s="1" t="s">
        <v>122</v>
      </c>
      <c r="C42" s="46"/>
      <c r="D42" s="116">
        <v>45787</v>
      </c>
      <c r="F42" s="30"/>
      <c r="G42" s="31"/>
      <c r="H42" s="166">
        <v>310</v>
      </c>
      <c r="I42" s="188"/>
      <c r="J42" s="33"/>
      <c r="K42" s="127" t="s">
        <v>118</v>
      </c>
      <c r="L42" s="33"/>
      <c r="M42" s="323" t="e">
        <f>Tracking_SI[[#This Row],[Chênh lệch 
(thừa so với ĐH)]]/Tracking_SI[[#This Row],[Số  lượng trên ĐH]]</f>
        <v>#DIV/0!</v>
      </c>
    </row>
    <row r="43" spans="1:13" ht="21" customHeight="1">
      <c r="A43" s="57"/>
      <c r="B43" s="1" t="s">
        <v>122</v>
      </c>
      <c r="C43" s="152"/>
      <c r="D43" s="116">
        <v>45801</v>
      </c>
      <c r="F43" s="30"/>
      <c r="G43" s="31"/>
      <c r="H43" s="164">
        <v>2469</v>
      </c>
      <c r="I43" s="188"/>
      <c r="J43" s="33"/>
      <c r="K43" s="127" t="s">
        <v>118</v>
      </c>
      <c r="L43" s="33"/>
      <c r="M43" s="323" t="e">
        <f>Tracking_SI[[#This Row],[Chênh lệch 
(thừa so với ĐH)]]/Tracking_SI[[#This Row],[Số  lượng trên ĐH]]</f>
        <v>#DIV/0!</v>
      </c>
    </row>
    <row r="44" spans="1:13" ht="21" customHeight="1">
      <c r="A44" s="57" t="s">
        <v>115</v>
      </c>
      <c r="B44" s="1" t="s">
        <v>122</v>
      </c>
      <c r="C44" s="46"/>
      <c r="D44" s="113">
        <v>45747</v>
      </c>
      <c r="E44" s="28" t="s">
        <v>123</v>
      </c>
      <c r="F44" s="25" t="s">
        <v>8</v>
      </c>
      <c r="G44" s="29">
        <v>15000</v>
      </c>
      <c r="H44" s="165">
        <f>SUM(H45:H54)</f>
        <v>14999.6</v>
      </c>
      <c r="I44" s="262">
        <f>G44-H44</f>
        <v>0.3999999999996362</v>
      </c>
      <c r="J44" s="29">
        <v>37400</v>
      </c>
      <c r="K44" s="113" t="s">
        <v>116</v>
      </c>
      <c r="L44" s="24"/>
      <c r="M44" s="323">
        <f>Tracking_SI[[#This Row],[Chênh lệch 
(thừa so với ĐH)]]/Tracking_SI[[#This Row],[Số  lượng trên ĐH]]</f>
        <v>2.6666666666642414E-5</v>
      </c>
    </row>
    <row r="45" spans="1:13" ht="21" customHeight="1">
      <c r="A45" s="57"/>
      <c r="B45" s="1" t="s">
        <v>122</v>
      </c>
      <c r="C45" s="46"/>
      <c r="D45" s="108">
        <v>45805</v>
      </c>
      <c r="E45" s="27" t="s">
        <v>123</v>
      </c>
      <c r="F45" s="30"/>
      <c r="G45" s="31"/>
      <c r="H45" s="167">
        <v>620</v>
      </c>
      <c r="I45" s="188"/>
      <c r="J45" s="32"/>
      <c r="K45" s="113" t="s">
        <v>118</v>
      </c>
      <c r="L45" s="32"/>
      <c r="M45" s="323" t="e">
        <f>Tracking_SI[[#This Row],[Chênh lệch 
(thừa so với ĐH)]]/Tracking_SI[[#This Row],[Số  lượng trên ĐH]]</f>
        <v>#DIV/0!</v>
      </c>
    </row>
    <row r="46" spans="1:13" ht="21" customHeight="1">
      <c r="A46" s="57"/>
      <c r="B46" s="1" t="s">
        <v>122</v>
      </c>
      <c r="C46" s="46"/>
      <c r="D46" s="108">
        <v>45807</v>
      </c>
      <c r="E46" s="27" t="s">
        <v>123</v>
      </c>
      <c r="F46" s="31"/>
      <c r="G46" s="26"/>
      <c r="H46" s="164">
        <v>470</v>
      </c>
      <c r="I46" s="185"/>
      <c r="J46" s="32"/>
      <c r="K46" s="113" t="s">
        <v>118</v>
      </c>
      <c r="L46" s="32"/>
      <c r="M46" s="323" t="e">
        <f>Tracking_SI[[#This Row],[Chênh lệch 
(thừa so với ĐH)]]/Tracking_SI[[#This Row],[Số  lượng trên ĐH]]</f>
        <v>#DIV/0!</v>
      </c>
    </row>
    <row r="47" spans="1:13" ht="21" customHeight="1">
      <c r="A47" s="57"/>
      <c r="B47" s="1" t="s">
        <v>122</v>
      </c>
      <c r="C47" s="46"/>
      <c r="D47" s="108">
        <v>45812</v>
      </c>
      <c r="E47" s="27" t="s">
        <v>123</v>
      </c>
      <c r="F47" s="30"/>
      <c r="G47" s="31"/>
      <c r="H47" s="164">
        <v>932</v>
      </c>
      <c r="I47" s="186"/>
      <c r="J47" s="32"/>
      <c r="K47" s="113" t="s">
        <v>118</v>
      </c>
      <c r="L47" s="32"/>
      <c r="M47" s="323" t="e">
        <f>Tracking_SI[[#This Row],[Chênh lệch 
(thừa so với ĐH)]]/Tracking_SI[[#This Row],[Số  lượng trên ĐH]]</f>
        <v>#DIV/0!</v>
      </c>
    </row>
    <row r="48" spans="1:13" ht="21" customHeight="1">
      <c r="A48" s="57"/>
      <c r="B48" s="1" t="s">
        <v>122</v>
      </c>
      <c r="C48" s="234"/>
      <c r="D48" s="108">
        <v>45819</v>
      </c>
      <c r="E48" s="27" t="s">
        <v>123</v>
      </c>
      <c r="F48" s="31"/>
      <c r="G48" s="30"/>
      <c r="H48" s="164">
        <v>1081</v>
      </c>
      <c r="I48" s="186"/>
      <c r="J48" s="32"/>
      <c r="K48" s="113" t="s">
        <v>118</v>
      </c>
      <c r="L48" s="32"/>
      <c r="M48" s="323" t="e">
        <f>Tracking_SI[[#This Row],[Chênh lệch 
(thừa so với ĐH)]]/Tracking_SI[[#This Row],[Số  lượng trên ĐH]]</f>
        <v>#DIV/0!</v>
      </c>
    </row>
    <row r="49" spans="1:13" ht="21" customHeight="1">
      <c r="A49" s="57"/>
      <c r="B49" s="1" t="s">
        <v>122</v>
      </c>
      <c r="C49" s="152"/>
      <c r="D49" s="108">
        <v>45841</v>
      </c>
      <c r="E49" s="27" t="s">
        <v>123</v>
      </c>
      <c r="F49" s="30"/>
      <c r="G49" s="31"/>
      <c r="H49" s="164">
        <v>1781</v>
      </c>
      <c r="I49" s="186"/>
      <c r="J49" s="32"/>
      <c r="K49" s="113" t="s">
        <v>118</v>
      </c>
      <c r="L49" s="32"/>
      <c r="M49" s="323" t="e">
        <f>Tracking_SI[[#This Row],[Chênh lệch 
(thừa so với ĐH)]]/Tracking_SI[[#This Row],[Số  lượng trên ĐH]]</f>
        <v>#DIV/0!</v>
      </c>
    </row>
    <row r="50" spans="1:13" ht="21" customHeight="1">
      <c r="A50" s="57"/>
      <c r="B50" s="1" t="s">
        <v>122</v>
      </c>
      <c r="C50" s="234"/>
      <c r="D50" s="108">
        <v>45841</v>
      </c>
      <c r="E50" s="27" t="s">
        <v>123</v>
      </c>
      <c r="F50" s="30"/>
      <c r="G50" s="31"/>
      <c r="H50" s="164">
        <v>2585</v>
      </c>
      <c r="I50" s="186"/>
      <c r="J50" s="32"/>
      <c r="K50" s="113" t="s">
        <v>118</v>
      </c>
      <c r="L50" s="32"/>
      <c r="M50" s="323" t="e">
        <f>Tracking_SI[[#This Row],[Chênh lệch 
(thừa so với ĐH)]]/Tracking_SI[[#This Row],[Số  lượng trên ĐH]]</f>
        <v>#DIV/0!</v>
      </c>
    </row>
    <row r="51" spans="1:13" ht="21" customHeight="1">
      <c r="A51" s="57"/>
      <c r="B51" s="1" t="s">
        <v>122</v>
      </c>
      <c r="C51" s="234"/>
      <c r="D51" s="108">
        <v>45845</v>
      </c>
      <c r="E51" s="27" t="s">
        <v>123</v>
      </c>
      <c r="F51" s="30"/>
      <c r="G51" s="31"/>
      <c r="H51" s="164">
        <v>912.6</v>
      </c>
      <c r="I51" s="186"/>
      <c r="J51" s="32"/>
      <c r="K51" s="113" t="s">
        <v>118</v>
      </c>
      <c r="L51" s="32"/>
      <c r="M51" s="323" t="e">
        <f>Tracking_SI[[#This Row],[Chênh lệch 
(thừa so với ĐH)]]/Tracking_SI[[#This Row],[Số  lượng trên ĐH]]</f>
        <v>#DIV/0!</v>
      </c>
    </row>
    <row r="52" spans="1:13" ht="21" customHeight="1">
      <c r="A52" s="57"/>
      <c r="B52" s="1" t="s">
        <v>122</v>
      </c>
      <c r="C52" s="234"/>
      <c r="D52" s="108">
        <v>45848</v>
      </c>
      <c r="E52" s="27" t="s">
        <v>123</v>
      </c>
      <c r="F52" s="30"/>
      <c r="G52" s="31"/>
      <c r="H52" s="164">
        <v>2003</v>
      </c>
      <c r="I52" s="186"/>
      <c r="J52" s="32"/>
      <c r="K52" s="113" t="s">
        <v>118</v>
      </c>
      <c r="L52" s="32"/>
      <c r="M52" s="323" t="e">
        <f>Tracking_SI[[#This Row],[Chênh lệch 
(thừa so với ĐH)]]/Tracking_SI[[#This Row],[Số  lượng trên ĐH]]</f>
        <v>#DIV/0!</v>
      </c>
    </row>
    <row r="53" spans="1:13" ht="21" customHeight="1">
      <c r="A53" s="57"/>
      <c r="B53" s="1" t="s">
        <v>122</v>
      </c>
      <c r="C53" s="234"/>
      <c r="D53" s="108">
        <v>45852</v>
      </c>
      <c r="E53" s="27" t="s">
        <v>123</v>
      </c>
      <c r="F53" s="30"/>
      <c r="G53" s="31"/>
      <c r="H53" s="164">
        <v>2156</v>
      </c>
      <c r="I53" s="186"/>
      <c r="J53" s="32"/>
      <c r="K53" s="113" t="s">
        <v>118</v>
      </c>
      <c r="L53" s="32"/>
      <c r="M53" s="323" t="e">
        <f>Tracking_SI[[#This Row],[Chênh lệch 
(thừa so với ĐH)]]/Tracking_SI[[#This Row],[Số  lượng trên ĐH]]</f>
        <v>#DIV/0!</v>
      </c>
    </row>
    <row r="54" spans="1:13" ht="21" customHeight="1">
      <c r="A54" s="57"/>
      <c r="B54" s="1" t="s">
        <v>122</v>
      </c>
      <c r="C54" s="234"/>
      <c r="D54" s="108">
        <v>45861</v>
      </c>
      <c r="E54" s="27" t="s">
        <v>123</v>
      </c>
      <c r="F54" s="30"/>
      <c r="G54" s="31"/>
      <c r="H54" s="164">
        <v>2459</v>
      </c>
      <c r="I54" s="186"/>
      <c r="J54" s="32"/>
      <c r="K54" s="113" t="s">
        <v>118</v>
      </c>
      <c r="L54" s="32"/>
      <c r="M54" s="323" t="e">
        <f>Tracking_SI[[#This Row],[Chênh lệch 
(thừa so với ĐH)]]/Tracking_SI[[#This Row],[Số  lượng trên ĐH]]</f>
        <v>#DIV/0!</v>
      </c>
    </row>
    <row r="55" spans="1:13" ht="21" customHeight="1">
      <c r="A55" s="58" t="s">
        <v>115</v>
      </c>
      <c r="B55" s="1" t="s">
        <v>122</v>
      </c>
      <c r="C55" s="46"/>
      <c r="D55" s="113">
        <v>45761</v>
      </c>
      <c r="E55" s="28" t="s">
        <v>19</v>
      </c>
      <c r="F55" s="155" t="s">
        <v>8</v>
      </c>
      <c r="G55" s="29">
        <v>12000</v>
      </c>
      <c r="H55" s="172">
        <f>SUM(H56:H60)</f>
        <v>12000</v>
      </c>
      <c r="I55" s="299">
        <f>G55-H55</f>
        <v>0</v>
      </c>
      <c r="J55" s="302">
        <v>37400</v>
      </c>
      <c r="K55" s="127" t="s">
        <v>116</v>
      </c>
      <c r="L55" s="24"/>
      <c r="M55" s="323">
        <f>Tracking_SI[[#This Row],[Chênh lệch 
(thừa so với ĐH)]]/Tracking_SI[[#This Row],[Số  lượng trên ĐH]]</f>
        <v>0</v>
      </c>
    </row>
    <row r="56" spans="1:13" ht="21" customHeight="1">
      <c r="A56" s="57"/>
      <c r="B56" s="1" t="s">
        <v>122</v>
      </c>
      <c r="C56" s="46"/>
      <c r="D56" s="108">
        <v>45861</v>
      </c>
      <c r="E56" s="27" t="s">
        <v>19</v>
      </c>
      <c r="F56" s="30"/>
      <c r="G56" s="31"/>
      <c r="H56" s="164">
        <f>4333-H54</f>
        <v>1874</v>
      </c>
      <c r="I56" s="187"/>
      <c r="J56" s="32"/>
      <c r="K56" s="127" t="s">
        <v>118</v>
      </c>
      <c r="L56" s="32"/>
      <c r="M56" s="323" t="e">
        <f>Tracking_SI[[#This Row],[Chênh lệch 
(thừa so với ĐH)]]/Tracking_SI[[#This Row],[Số  lượng trên ĐH]]</f>
        <v>#DIV/0!</v>
      </c>
    </row>
    <row r="57" spans="1:13" ht="21" customHeight="1">
      <c r="A57" s="57"/>
      <c r="B57" s="1" t="s">
        <v>122</v>
      </c>
      <c r="C57" s="46"/>
      <c r="D57" s="108">
        <v>45923</v>
      </c>
      <c r="E57" s="27" t="s">
        <v>19</v>
      </c>
      <c r="F57" s="30"/>
      <c r="G57" s="31"/>
      <c r="H57" s="164">
        <v>5066</v>
      </c>
      <c r="I57" s="186"/>
      <c r="J57" s="32"/>
      <c r="K57" s="127" t="s">
        <v>118</v>
      </c>
      <c r="L57" s="32"/>
      <c r="M57" s="323" t="e">
        <f>Tracking_SI[[#This Row],[Chênh lệch 
(thừa so với ĐH)]]/Tracking_SI[[#This Row],[Số  lượng trên ĐH]]</f>
        <v>#DIV/0!</v>
      </c>
    </row>
    <row r="58" spans="1:13" ht="21" customHeight="1">
      <c r="A58" s="57"/>
      <c r="B58" s="1" t="s">
        <v>122</v>
      </c>
      <c r="C58" s="46"/>
      <c r="D58" s="108">
        <v>45948</v>
      </c>
      <c r="E58" s="27" t="s">
        <v>19</v>
      </c>
      <c r="F58" s="30"/>
      <c r="G58" s="31"/>
      <c r="H58" s="164">
        <v>4028</v>
      </c>
      <c r="I58" s="186"/>
      <c r="J58" s="32"/>
      <c r="K58" s="127" t="s">
        <v>118</v>
      </c>
      <c r="L58" s="32"/>
      <c r="M58" s="323" t="e">
        <f>Tracking_SI[[#This Row],[Chênh lệch 
(thừa so với ĐH)]]/Tracking_SI[[#This Row],[Số  lượng trên ĐH]]</f>
        <v>#DIV/0!</v>
      </c>
    </row>
    <row r="59" spans="1:13" ht="21" customHeight="1">
      <c r="A59" s="57"/>
      <c r="B59" s="1" t="s">
        <v>122</v>
      </c>
      <c r="C59" s="46"/>
      <c r="D59" s="108">
        <v>46044</v>
      </c>
      <c r="E59" s="27" t="s">
        <v>19</v>
      </c>
      <c r="F59" s="30"/>
      <c r="G59" s="31"/>
      <c r="H59" s="164">
        <v>458</v>
      </c>
      <c r="I59" s="186"/>
      <c r="J59" s="32"/>
      <c r="K59" s="127" t="s">
        <v>118</v>
      </c>
      <c r="L59" s="32"/>
      <c r="M59" s="323" t="e">
        <f>Tracking_SI[[#This Row],[Chênh lệch 
(thừa so với ĐH)]]/Tracking_SI[[#This Row],[Số  lượng trên ĐH]]</f>
        <v>#DIV/0!</v>
      </c>
    </row>
    <row r="60" spans="1:13" ht="21" customHeight="1">
      <c r="A60" s="57"/>
      <c r="B60" s="1" t="s">
        <v>122</v>
      </c>
      <c r="C60" s="46"/>
      <c r="D60" s="108">
        <v>46049</v>
      </c>
      <c r="E60" s="27" t="s">
        <v>19</v>
      </c>
      <c r="F60" s="30"/>
      <c r="G60" s="31"/>
      <c r="H60" s="164">
        <v>574</v>
      </c>
      <c r="I60" s="186"/>
      <c r="J60" s="32"/>
      <c r="K60" s="127" t="s">
        <v>118</v>
      </c>
      <c r="L60" s="32"/>
      <c r="M60" s="323" t="e">
        <f>Tracking_SI[[#This Row],[Chênh lệch 
(thừa so với ĐH)]]/Tracking_SI[[#This Row],[Số  lượng trên ĐH]]</f>
        <v>#DIV/0!</v>
      </c>
    </row>
    <row r="61" spans="1:13" ht="21" customHeight="1">
      <c r="A61" s="57" t="s">
        <v>115</v>
      </c>
      <c r="B61" s="289" t="s">
        <v>122</v>
      </c>
      <c r="C61" s="371"/>
      <c r="D61" s="111">
        <v>45862</v>
      </c>
      <c r="E61" s="25" t="s">
        <v>169</v>
      </c>
      <c r="F61" s="30"/>
      <c r="G61" s="24">
        <v>12000</v>
      </c>
      <c r="H61" s="163">
        <f>SUM(H62:H65)</f>
        <v>12000</v>
      </c>
      <c r="I61" s="191">
        <f>Tracking_SI[[#This Row],[Số  lượng trên ĐH]]-Tracking_SI[[#This Row],[Số  lượng giao]]</f>
        <v>0</v>
      </c>
      <c r="J61" s="156"/>
      <c r="K61" s="130" t="s">
        <v>116</v>
      </c>
      <c r="L61" s="32"/>
      <c r="M61" s="323">
        <f>Tracking_SI[[#This Row],[Chênh lệch 
(thừa so với ĐH)]]/Tracking_SI[[#This Row],[Số  lượng trên ĐH]]</f>
        <v>0</v>
      </c>
    </row>
    <row r="62" spans="1:13" ht="21" customHeight="1">
      <c r="A62" s="57"/>
      <c r="B62" s="1" t="s">
        <v>122</v>
      </c>
      <c r="C62" s="46"/>
      <c r="D62" s="108">
        <v>46049</v>
      </c>
      <c r="E62" s="27" t="s">
        <v>169</v>
      </c>
      <c r="F62" s="30"/>
      <c r="G62" s="31"/>
      <c r="H62" s="164">
        <f>2149-574</f>
        <v>1575</v>
      </c>
      <c r="I62" s="186"/>
      <c r="J62" s="32"/>
      <c r="K62" s="372" t="s">
        <v>118</v>
      </c>
      <c r="L62" s="32"/>
      <c r="M62" s="323" t="e">
        <f>Tracking_SI[[#This Row],[Chênh lệch 
(thừa so với ĐH)]]/Tracking_SI[[#This Row],[Số  lượng trên ĐH]]</f>
        <v>#DIV/0!</v>
      </c>
    </row>
    <row r="63" spans="1:13" ht="21" customHeight="1">
      <c r="A63" s="57"/>
      <c r="B63" s="1" t="s">
        <v>122</v>
      </c>
      <c r="C63" s="46"/>
      <c r="D63" s="108">
        <v>46057</v>
      </c>
      <c r="E63" s="27" t="s">
        <v>169</v>
      </c>
      <c r="F63" s="30"/>
      <c r="G63" s="31"/>
      <c r="H63" s="164">
        <v>4184</v>
      </c>
      <c r="I63" s="186"/>
      <c r="J63" s="32"/>
      <c r="K63" s="372" t="s">
        <v>118</v>
      </c>
      <c r="L63" s="32"/>
      <c r="M63" s="323" t="e">
        <f>Tracking_SI[[#This Row],[Chênh lệch 
(thừa so với ĐH)]]/Tracking_SI[[#This Row],[Số  lượng trên ĐH]]</f>
        <v>#DIV/0!</v>
      </c>
    </row>
    <row r="64" spans="1:13" ht="21" customHeight="1">
      <c r="A64" s="57"/>
      <c r="B64" s="1" t="s">
        <v>122</v>
      </c>
      <c r="C64" s="46"/>
      <c r="D64" s="108">
        <v>46078</v>
      </c>
      <c r="E64" s="27" t="s">
        <v>169</v>
      </c>
      <c r="F64" s="30"/>
      <c r="G64" s="31"/>
      <c r="H64" s="164">
        <v>4004</v>
      </c>
      <c r="I64" s="186"/>
      <c r="J64" s="32"/>
      <c r="K64" s="372" t="s">
        <v>118</v>
      </c>
      <c r="L64" s="32"/>
      <c r="M64" s="323" t="e">
        <f>Tracking_SI[[#This Row],[Chênh lệch 
(thừa so với ĐH)]]/Tracking_SI[[#This Row],[Số  lượng trên ĐH]]</f>
        <v>#DIV/0!</v>
      </c>
    </row>
    <row r="65" spans="1:13" ht="21" customHeight="1">
      <c r="A65" s="57"/>
      <c r="B65" s="1" t="s">
        <v>122</v>
      </c>
      <c r="C65" s="46"/>
      <c r="D65" s="108">
        <v>46081</v>
      </c>
      <c r="E65" s="27" t="s">
        <v>169</v>
      </c>
      <c r="F65" s="30"/>
      <c r="G65" s="31"/>
      <c r="H65" s="164">
        <v>2237</v>
      </c>
      <c r="I65" s="186"/>
      <c r="J65" s="32"/>
      <c r="K65" s="372" t="s">
        <v>118</v>
      </c>
      <c r="L65" s="32"/>
      <c r="M65" s="323" t="e">
        <f>Tracking_SI[[#This Row],[Chênh lệch 
(thừa so với ĐH)]]/Tracking_SI[[#This Row],[Số  lượng trên ĐH]]</f>
        <v>#DIV/0!</v>
      </c>
    </row>
    <row r="66" spans="1:13" ht="21" customHeight="1">
      <c r="A66" s="57" t="s">
        <v>115</v>
      </c>
      <c r="B66" s="363" t="s">
        <v>122</v>
      </c>
      <c r="C66" s="318"/>
      <c r="D66" s="300">
        <v>45676</v>
      </c>
      <c r="E66" s="301" t="s">
        <v>197</v>
      </c>
      <c r="F66" s="155"/>
      <c r="G66" s="302">
        <v>15000</v>
      </c>
      <c r="H66" s="315">
        <f>SUM(H67:H73)</f>
        <v>15000</v>
      </c>
      <c r="I66" s="304">
        <f>Tracking_SI[[#This Row],[Số  lượng trên ĐH]]-Tracking_SI[[#This Row],[Số  lượng giao]]</f>
        <v>0</v>
      </c>
      <c r="J66" s="156"/>
      <c r="K66" s="317"/>
      <c r="L66" s="32"/>
      <c r="M66" s="323">
        <f>Tracking_SI[[#This Row],[Chênh lệch 
(thừa so với ĐH)]]/Tracking_SI[[#This Row],[Số  lượng trên ĐH]]</f>
        <v>0</v>
      </c>
    </row>
    <row r="67" spans="1:13" ht="21" customHeight="1">
      <c r="A67" s="57"/>
      <c r="B67" s="1" t="s">
        <v>122</v>
      </c>
      <c r="C67" s="46"/>
      <c r="D67" s="108">
        <v>46081</v>
      </c>
      <c r="E67" s="27" t="s">
        <v>197</v>
      </c>
      <c r="F67" s="30"/>
      <c r="G67" s="31"/>
      <c r="H67" s="164">
        <f>4154-H65</f>
        <v>1917</v>
      </c>
      <c r="I67" s="186"/>
      <c r="J67" s="32"/>
      <c r="K67" s="133"/>
      <c r="L67" s="32"/>
      <c r="M67" s="323" t="e">
        <f>Tracking_SI[[#This Row],[Chênh lệch 
(thừa so với ĐH)]]/Tracking_SI[[#This Row],[Số  lượng trên ĐH]]</f>
        <v>#DIV/0!</v>
      </c>
    </row>
    <row r="68" spans="1:13" ht="21" customHeight="1">
      <c r="A68" s="57"/>
      <c r="B68" s="1" t="s">
        <v>122</v>
      </c>
      <c r="C68" s="46"/>
      <c r="D68" s="108">
        <v>46107</v>
      </c>
      <c r="E68" s="27" t="s">
        <v>197</v>
      </c>
      <c r="F68" s="30"/>
      <c r="G68" s="31"/>
      <c r="H68" s="164">
        <v>3535</v>
      </c>
      <c r="I68" s="186"/>
      <c r="J68" s="32"/>
      <c r="K68" s="133"/>
      <c r="L68" s="32"/>
      <c r="M68" s="323" t="e">
        <f>Tracking_SI[[#This Row],[Chênh lệch 
(thừa so với ĐH)]]/Tracking_SI[[#This Row],[Số  lượng trên ĐH]]</f>
        <v>#DIV/0!</v>
      </c>
    </row>
    <row r="69" spans="1:13" ht="21" customHeight="1">
      <c r="A69" s="57"/>
      <c r="B69" s="1" t="s">
        <v>122</v>
      </c>
      <c r="C69" s="46"/>
      <c r="D69" s="108">
        <v>46113</v>
      </c>
      <c r="E69" s="27" t="s">
        <v>197</v>
      </c>
      <c r="F69" s="30"/>
      <c r="G69" s="31"/>
      <c r="H69" s="164">
        <v>4470</v>
      </c>
      <c r="I69" s="186"/>
      <c r="J69" s="32"/>
      <c r="K69" s="133"/>
      <c r="L69" s="32"/>
      <c r="M69" s="323" t="e">
        <f>Tracking_SI[[#This Row],[Chênh lệch 
(thừa so với ĐH)]]/Tracking_SI[[#This Row],[Số  lượng trên ĐH]]</f>
        <v>#DIV/0!</v>
      </c>
    </row>
    <row r="70" spans="1:13" ht="21" customHeight="1">
      <c r="A70" s="57"/>
      <c r="B70" s="1" t="s">
        <v>122</v>
      </c>
      <c r="C70" s="46"/>
      <c r="D70" s="108">
        <v>46118</v>
      </c>
      <c r="E70" s="27" t="s">
        <v>197</v>
      </c>
      <c r="F70" s="30"/>
      <c r="G70" s="31"/>
      <c r="H70" s="164">
        <v>1390</v>
      </c>
      <c r="I70" s="186"/>
      <c r="J70" s="32"/>
      <c r="K70" s="133"/>
      <c r="L70" s="32"/>
      <c r="M70" s="323" t="e">
        <f>Tracking_SI[[#This Row],[Chênh lệch 
(thừa so với ĐH)]]/Tracking_SI[[#This Row],[Số  lượng trên ĐH]]</f>
        <v>#DIV/0!</v>
      </c>
    </row>
    <row r="71" spans="1:13" ht="21" customHeight="1">
      <c r="A71" s="57"/>
      <c r="B71" s="1"/>
      <c r="C71" s="46"/>
      <c r="D71" s="108"/>
      <c r="E71" s="27"/>
      <c r="F71" s="30"/>
      <c r="G71" s="31"/>
      <c r="H71" s="26"/>
      <c r="I71" s="186"/>
      <c r="J71" s="32"/>
      <c r="K71" s="133"/>
      <c r="L71" s="32"/>
      <c r="M71" s="323" t="e">
        <f>Tracking_SI[[#This Row],[Chênh lệch 
(thừa so với ĐH)]]/Tracking_SI[[#This Row],[Số  lượng trên ĐH]]</f>
        <v>#DIV/0!</v>
      </c>
    </row>
    <row r="72" spans="1:13" ht="21" customHeight="1">
      <c r="A72" s="57"/>
      <c r="B72" s="1" t="s">
        <v>122</v>
      </c>
      <c r="C72" s="46"/>
      <c r="D72" s="108">
        <v>46126</v>
      </c>
      <c r="E72" s="27" t="s">
        <v>197</v>
      </c>
      <c r="F72" s="30"/>
      <c r="G72" s="31"/>
      <c r="H72" s="26">
        <v>1848</v>
      </c>
      <c r="I72" s="186"/>
      <c r="J72" s="32"/>
      <c r="K72" s="133"/>
      <c r="L72" s="32"/>
      <c r="M72" s="323" t="e">
        <f>Tracking_SI[[#This Row],[Chênh lệch 
(thừa so với ĐH)]]/Tracking_SI[[#This Row],[Số  lượng trên ĐH]]</f>
        <v>#DIV/0!</v>
      </c>
    </row>
    <row r="73" spans="1:13" ht="21" customHeight="1">
      <c r="A73" s="57" t="s">
        <v>118</v>
      </c>
      <c r="B73" s="1" t="s">
        <v>122</v>
      </c>
      <c r="C73" s="46"/>
      <c r="D73" s="108">
        <v>46129</v>
      </c>
      <c r="E73" s="27" t="s">
        <v>197</v>
      </c>
      <c r="F73" s="30"/>
      <c r="G73" s="31"/>
      <c r="H73" s="26">
        <v>1840</v>
      </c>
      <c r="I73" s="186"/>
      <c r="J73" s="32"/>
      <c r="K73" s="133"/>
      <c r="L73" s="32"/>
      <c r="M73" s="323" t="e">
        <f>Tracking_SI[[#This Row],[Chênh lệch 
(thừa so với ĐH)]]/Tracking_SI[[#This Row],[Số  lượng trên ĐH]]</f>
        <v>#DIV/0!</v>
      </c>
    </row>
    <row r="74" spans="1:13" ht="21" customHeight="1">
      <c r="A74" s="57" t="s">
        <v>115</v>
      </c>
      <c r="B74" s="1" t="s">
        <v>122</v>
      </c>
      <c r="C74" s="46"/>
      <c r="D74" s="300">
        <v>46077</v>
      </c>
      <c r="E74" s="301" t="s">
        <v>209</v>
      </c>
      <c r="F74" s="302">
        <v>15000</v>
      </c>
      <c r="G74" s="315">
        <v>12000</v>
      </c>
      <c r="H74" s="304">
        <f>SUM(H75:H77)</f>
        <v>1080</v>
      </c>
      <c r="I74" s="304">
        <f>Tracking_SI[[#This Row],[Số  lượng trên ĐH]]-Tracking_SI[[#This Row],[Số  lượng giao]]</f>
        <v>10920</v>
      </c>
      <c r="J74" s="32"/>
      <c r="K74" s="133"/>
      <c r="L74" s="32"/>
      <c r="M74" s="323">
        <f>Tracking_SI[[#This Row],[Chênh lệch 
(thừa so với ĐH)]]/Tracking_SI[[#This Row],[Số  lượng trên ĐH]]</f>
        <v>0.91</v>
      </c>
    </row>
    <row r="75" spans="1:13" ht="21" customHeight="1">
      <c r="A75" s="57" t="s">
        <v>118</v>
      </c>
      <c r="B75" s="1" t="s">
        <v>122</v>
      </c>
      <c r="C75" s="46"/>
      <c r="D75" s="108">
        <v>46129</v>
      </c>
      <c r="E75" s="27" t="s">
        <v>209</v>
      </c>
      <c r="F75" s="30"/>
      <c r="G75" s="31"/>
      <c r="H75" s="164">
        <f>2920-H73</f>
        <v>1080</v>
      </c>
      <c r="I75" s="186"/>
      <c r="J75" s="32"/>
      <c r="K75" s="133"/>
      <c r="L75" s="32"/>
      <c r="M75" s="323" t="e">
        <f>Tracking_SI[[#This Row],[Chênh lệch 
(thừa so với ĐH)]]/Tracking_SI[[#This Row],[Số  lượng trên ĐH]]</f>
        <v>#DIV/0!</v>
      </c>
    </row>
    <row r="76" spans="1:13" ht="21" customHeight="1">
      <c r="A76" s="57"/>
      <c r="B76" s="1" t="s">
        <v>122</v>
      </c>
      <c r="C76" s="46"/>
      <c r="D76" s="108"/>
      <c r="E76" s="27" t="s">
        <v>209</v>
      </c>
      <c r="F76" s="30"/>
      <c r="G76" s="31"/>
      <c r="H76" s="164"/>
      <c r="I76" s="186"/>
      <c r="J76" s="32"/>
      <c r="K76" s="133"/>
      <c r="L76" s="32"/>
      <c r="M76" s="323" t="e">
        <f>Tracking_SI[[#This Row],[Chênh lệch 
(thừa so với ĐH)]]/Tracking_SI[[#This Row],[Số  lượng trên ĐH]]</f>
        <v>#DIV/0!</v>
      </c>
    </row>
    <row r="77" spans="1:13" ht="21" customHeight="1">
      <c r="A77" s="57"/>
      <c r="B77" s="1" t="s">
        <v>122</v>
      </c>
      <c r="C77" s="46"/>
      <c r="D77" s="108"/>
      <c r="E77" s="27" t="s">
        <v>209</v>
      </c>
      <c r="F77" s="30"/>
      <c r="G77" s="31"/>
      <c r="H77" s="164"/>
      <c r="I77" s="186"/>
      <c r="J77" s="32"/>
      <c r="K77" s="133"/>
      <c r="L77" s="32"/>
      <c r="M77" s="323" t="e">
        <f>Tracking_SI[[#This Row],[Chênh lệch 
(thừa so với ĐH)]]/Tracking_SI[[#This Row],[Số  lượng trên ĐH]]</f>
        <v>#DIV/0!</v>
      </c>
    </row>
    <row r="78" spans="1:13" ht="21" customHeight="1">
      <c r="A78" s="57" t="s">
        <v>115</v>
      </c>
      <c r="B78" s="1" t="s">
        <v>122</v>
      </c>
      <c r="C78" s="46"/>
      <c r="D78" s="341">
        <v>46086</v>
      </c>
      <c r="E78" s="342" t="s">
        <v>212</v>
      </c>
      <c r="F78" s="30"/>
      <c r="G78" s="347">
        <v>16000</v>
      </c>
      <c r="H78" s="340">
        <f>SUM(H79:H80)</f>
        <v>0</v>
      </c>
      <c r="I78" s="186"/>
      <c r="J78" s="32"/>
      <c r="K78" s="356"/>
      <c r="L78" s="32"/>
      <c r="M78" s="323">
        <f>Tracking_SI[[#This Row],[Chênh lệch 
(thừa so với ĐH)]]/Tracking_SI[[#This Row],[Số  lượng trên ĐH]]</f>
        <v>0</v>
      </c>
    </row>
    <row r="79" spans="1:13" ht="21" customHeight="1">
      <c r="A79" s="57"/>
      <c r="B79" s="1" t="s">
        <v>122</v>
      </c>
      <c r="C79" s="46"/>
      <c r="D79" s="108"/>
      <c r="E79" s="27" t="s">
        <v>212</v>
      </c>
      <c r="F79" s="30"/>
      <c r="G79" s="31"/>
      <c r="H79" s="164"/>
      <c r="I79" s="186"/>
      <c r="J79" s="32"/>
      <c r="K79" s="133"/>
      <c r="L79" s="32"/>
      <c r="M79" s="323" t="e">
        <f>Tracking_SI[[#This Row],[Chênh lệch 
(thừa so với ĐH)]]/Tracking_SI[[#This Row],[Số  lượng trên ĐH]]</f>
        <v>#DIV/0!</v>
      </c>
    </row>
    <row r="80" spans="1:13" ht="21" customHeight="1">
      <c r="A80" s="57"/>
      <c r="B80" s="1" t="s">
        <v>122</v>
      </c>
      <c r="C80" s="46"/>
      <c r="D80" s="108"/>
      <c r="E80" s="27" t="s">
        <v>212</v>
      </c>
      <c r="F80" s="30"/>
      <c r="G80" s="31"/>
      <c r="H80" s="164"/>
      <c r="I80" s="186"/>
      <c r="J80" s="32"/>
      <c r="K80" s="133"/>
      <c r="L80" s="32"/>
      <c r="M80" s="323" t="e">
        <f>Tracking_SI[[#This Row],[Chênh lệch 
(thừa so với ĐH)]]/Tracking_SI[[#This Row],[Số  lượng trên ĐH]]</f>
        <v>#DIV/0!</v>
      </c>
    </row>
    <row r="81" spans="1:13" ht="21" customHeight="1">
      <c r="A81" s="58" t="s">
        <v>106</v>
      </c>
      <c r="B81" s="72" t="s">
        <v>200</v>
      </c>
      <c r="C81" s="62" t="s">
        <v>199</v>
      </c>
      <c r="D81" s="125"/>
      <c r="E81" s="125"/>
      <c r="F81" s="64"/>
      <c r="G81" s="64"/>
      <c r="H81" s="219"/>
      <c r="I81" s="210"/>
      <c r="J81" s="66"/>
      <c r="K81" s="132"/>
      <c r="L81" s="66"/>
      <c r="M81" s="323" t="e">
        <f>Tracking_SI[[#This Row],[Chênh lệch 
(thừa so với ĐH)]]/Tracking_SI[[#This Row],[Số  lượng trên ĐH]]</f>
        <v>#DIV/0!</v>
      </c>
    </row>
    <row r="82" spans="1:13" ht="21" customHeight="1">
      <c r="A82" s="58" t="s">
        <v>115</v>
      </c>
      <c r="B82" s="1" t="s">
        <v>200</v>
      </c>
      <c r="C82" s="46"/>
      <c r="D82" s="111">
        <v>45570</v>
      </c>
      <c r="E82" s="25" t="s">
        <v>20</v>
      </c>
      <c r="F82" s="25" t="s">
        <v>21</v>
      </c>
      <c r="G82" s="24">
        <v>5811</v>
      </c>
      <c r="H82" s="164">
        <f>SUM(H83:H85)</f>
        <v>5811</v>
      </c>
      <c r="I82" s="192">
        <f>G82-H82</f>
        <v>0</v>
      </c>
      <c r="J82" s="24">
        <v>35100</v>
      </c>
      <c r="K82" s="127" t="s">
        <v>215</v>
      </c>
      <c r="L82" s="24"/>
      <c r="M82" s="323">
        <f>Tracking_SI[[#This Row],[Chênh lệch 
(thừa so với ĐH)]]/Tracking_SI[[#This Row],[Số  lượng trên ĐH]]</f>
        <v>0</v>
      </c>
    </row>
    <row r="83" spans="1:13" ht="21" customHeight="1">
      <c r="A83" s="57"/>
      <c r="B83" s="1" t="s">
        <v>200</v>
      </c>
      <c r="C83" s="46"/>
      <c r="D83" s="108">
        <v>45699</v>
      </c>
      <c r="E83" s="27" t="s">
        <v>20</v>
      </c>
      <c r="F83" s="27"/>
      <c r="G83" s="26"/>
      <c r="H83" s="164">
        <v>2340</v>
      </c>
      <c r="I83" s="188"/>
      <c r="J83" s="26"/>
      <c r="K83" s="131" t="s">
        <v>118</v>
      </c>
      <c r="L83" s="26"/>
      <c r="M83" s="323" t="e">
        <f>Tracking_SI[[#This Row],[Chênh lệch 
(thừa so với ĐH)]]/Tracking_SI[[#This Row],[Số  lượng trên ĐH]]</f>
        <v>#DIV/0!</v>
      </c>
    </row>
    <row r="84" spans="1:13" ht="21" customHeight="1">
      <c r="A84" s="57"/>
      <c r="B84" s="1" t="s">
        <v>200</v>
      </c>
      <c r="C84" s="46"/>
      <c r="D84" s="108">
        <v>46057</v>
      </c>
      <c r="E84" s="27" t="s">
        <v>20</v>
      </c>
      <c r="F84" s="27"/>
      <c r="G84" s="26"/>
      <c r="H84" s="164">
        <v>780</v>
      </c>
      <c r="I84" s="188"/>
      <c r="J84" s="26"/>
      <c r="K84" s="131" t="s">
        <v>118</v>
      </c>
      <c r="L84" s="26"/>
      <c r="M84" s="323" t="e">
        <f>Tracking_SI[[#This Row],[Chênh lệch 
(thừa so với ĐH)]]/Tracking_SI[[#This Row],[Số  lượng trên ĐH]]</f>
        <v>#DIV/0!</v>
      </c>
    </row>
    <row r="85" spans="1:13" ht="21" customHeight="1">
      <c r="A85" s="57"/>
      <c r="B85" s="1" t="s">
        <v>200</v>
      </c>
      <c r="C85" s="46"/>
      <c r="D85" s="108">
        <v>46090</v>
      </c>
      <c r="E85" s="381" t="s">
        <v>201</v>
      </c>
      <c r="F85" s="27"/>
      <c r="G85" s="26"/>
      <c r="H85" s="382">
        <f>2691</f>
        <v>2691</v>
      </c>
      <c r="I85" s="188"/>
      <c r="J85" s="26"/>
      <c r="K85" s="131" t="s">
        <v>118</v>
      </c>
      <c r="L85" s="26"/>
      <c r="M85" s="323" t="e">
        <f>Tracking_SI[[#This Row],[Chênh lệch 
(thừa so với ĐH)]]/Tracking_SI[[#This Row],[Số  lượng trên ĐH]]</f>
        <v>#DIV/0!</v>
      </c>
    </row>
    <row r="86" spans="1:13" ht="21" customHeight="1">
      <c r="A86" s="58" t="s">
        <v>115</v>
      </c>
      <c r="B86" s="1" t="s">
        <v>200</v>
      </c>
      <c r="C86" s="46"/>
      <c r="D86" s="111">
        <v>45581</v>
      </c>
      <c r="E86" s="25" t="s">
        <v>22</v>
      </c>
      <c r="F86" s="25" t="s">
        <v>8</v>
      </c>
      <c r="G86" s="24">
        <v>15000</v>
      </c>
      <c r="H86" s="164">
        <f>SUM(H87)</f>
        <v>2493</v>
      </c>
      <c r="I86" s="192">
        <f>G86-H86</f>
        <v>12507</v>
      </c>
      <c r="J86" s="24">
        <v>35100</v>
      </c>
      <c r="K86" s="127" t="s">
        <v>215</v>
      </c>
      <c r="L86" s="24"/>
      <c r="M86" s="323">
        <f>Tracking_SI[[#This Row],[Chênh lệch 
(thừa so với ĐH)]]/Tracking_SI[[#This Row],[Số  lượng trên ĐH]]</f>
        <v>0.83379999999999999</v>
      </c>
    </row>
    <row r="87" spans="1:13" ht="21" customHeight="1">
      <c r="A87" s="57"/>
      <c r="B87" s="1" t="s">
        <v>200</v>
      </c>
      <c r="C87" s="46"/>
      <c r="D87" s="108">
        <v>46093</v>
      </c>
      <c r="E87" s="381" t="s">
        <v>201</v>
      </c>
      <c r="F87" s="27"/>
      <c r="G87" s="26"/>
      <c r="H87" s="382">
        <f>5184-H85</f>
        <v>2493</v>
      </c>
      <c r="I87" s="188"/>
      <c r="J87" s="26"/>
      <c r="K87" s="131" t="s">
        <v>118</v>
      </c>
      <c r="L87" s="26"/>
      <c r="M87" s="323" t="e">
        <f>Tracking_SI[[#This Row],[Chênh lệch 
(thừa so với ĐH)]]/Tracking_SI[[#This Row],[Số  lượng trên ĐH]]</f>
        <v>#DIV/0!</v>
      </c>
    </row>
    <row r="88" spans="1:13" ht="21" customHeight="1">
      <c r="A88" s="57" t="s">
        <v>115</v>
      </c>
      <c r="B88" s="1" t="s">
        <v>200</v>
      </c>
      <c r="C88" s="46"/>
      <c r="D88" s="359">
        <v>46050</v>
      </c>
      <c r="E88" s="348" t="s">
        <v>201</v>
      </c>
      <c r="F88" s="27"/>
      <c r="G88" s="45">
        <v>15000</v>
      </c>
      <c r="H88" s="344">
        <f>SUM(H89:H95)+H85+H87</f>
        <v>14528</v>
      </c>
      <c r="I88" s="360">
        <f>G88-H88</f>
        <v>472</v>
      </c>
      <c r="J88" s="26"/>
      <c r="K88" s="133"/>
      <c r="L88" s="26"/>
      <c r="M88" s="323">
        <f>Tracking_SI[[#This Row],[Chênh lệch 
(thừa so với ĐH)]]/Tracking_SI[[#This Row],[Số  lượng trên ĐH]]</f>
        <v>3.1466666666666664E-2</v>
      </c>
    </row>
    <row r="89" spans="1:13" ht="21" customHeight="1">
      <c r="A89" s="57"/>
      <c r="B89" s="1" t="s">
        <v>200</v>
      </c>
      <c r="C89" s="152"/>
      <c r="D89" s="108">
        <v>46093</v>
      </c>
      <c r="E89" s="27" t="s">
        <v>201</v>
      </c>
      <c r="F89" s="27"/>
      <c r="G89" s="26"/>
      <c r="H89" s="164">
        <v>2594</v>
      </c>
      <c r="I89" s="185"/>
      <c r="J89" s="32"/>
      <c r="K89" s="133"/>
      <c r="L89" s="26"/>
      <c r="M89" s="326" t="e">
        <f>Tracking_SI[[#This Row],[Chênh lệch 
(thừa so với ĐH)]]/Tracking_SI[[#This Row],[Số  lượng trên ĐH]]</f>
        <v>#DIV/0!</v>
      </c>
    </row>
    <row r="90" spans="1:13" ht="21" customHeight="1">
      <c r="A90" s="57"/>
      <c r="B90" s="1" t="s">
        <v>200</v>
      </c>
      <c r="C90" s="152"/>
      <c r="D90" s="108">
        <v>46104</v>
      </c>
      <c r="E90" s="27" t="s">
        <v>201</v>
      </c>
      <c r="F90" s="27"/>
      <c r="G90" s="26"/>
      <c r="H90" s="164">
        <v>1817</v>
      </c>
      <c r="I90" s="185"/>
      <c r="J90" s="32"/>
      <c r="K90" s="133"/>
      <c r="L90" s="26"/>
      <c r="M90" s="326" t="e">
        <f>Tracking_SI[[#This Row],[Chênh lệch 
(thừa so với ĐH)]]/Tracking_SI[[#This Row],[Số  lượng trên ĐH]]</f>
        <v>#DIV/0!</v>
      </c>
    </row>
    <row r="91" spans="1:13" ht="21" customHeight="1">
      <c r="A91" s="57"/>
      <c r="B91" s="1" t="s">
        <v>200</v>
      </c>
      <c r="C91" s="152"/>
      <c r="D91" s="108">
        <v>46107</v>
      </c>
      <c r="E91" s="27" t="s">
        <v>201</v>
      </c>
      <c r="F91" s="27"/>
      <c r="G91" s="26"/>
      <c r="H91" s="164">
        <v>1040</v>
      </c>
      <c r="I91" s="185"/>
      <c r="J91" s="32"/>
      <c r="K91" s="133"/>
      <c r="L91" s="26"/>
      <c r="M91" s="326" t="e">
        <f>Tracking_SI[[#This Row],[Chênh lệch 
(thừa so với ĐH)]]/Tracking_SI[[#This Row],[Số  lượng trên ĐH]]</f>
        <v>#DIV/0!</v>
      </c>
    </row>
    <row r="92" spans="1:13" ht="21" customHeight="1">
      <c r="A92" s="57"/>
      <c r="B92" s="1" t="s">
        <v>200</v>
      </c>
      <c r="C92" s="152"/>
      <c r="D92" s="108">
        <v>46113</v>
      </c>
      <c r="E92" s="27" t="s">
        <v>201</v>
      </c>
      <c r="F92" s="27"/>
      <c r="G92" s="26"/>
      <c r="H92" s="164">
        <v>1295</v>
      </c>
      <c r="I92" s="185"/>
      <c r="J92" s="32"/>
      <c r="K92" s="133"/>
      <c r="L92" s="26"/>
      <c r="M92" s="326" t="e">
        <f>Tracking_SI[[#This Row],[Chênh lệch 
(thừa so với ĐH)]]/Tracking_SI[[#This Row],[Số  lượng trên ĐH]]</f>
        <v>#DIV/0!</v>
      </c>
    </row>
    <row r="93" spans="1:13" ht="21" customHeight="1">
      <c r="A93" s="57"/>
      <c r="B93" s="1" t="s">
        <v>200</v>
      </c>
      <c r="C93" s="152"/>
      <c r="D93" s="108">
        <v>46118</v>
      </c>
      <c r="E93" s="27" t="s">
        <v>201</v>
      </c>
      <c r="F93" s="27"/>
      <c r="G93" s="26"/>
      <c r="H93" s="164">
        <v>1295</v>
      </c>
      <c r="I93" s="185"/>
      <c r="J93" s="32"/>
      <c r="K93" s="133"/>
      <c r="L93" s="26"/>
      <c r="M93" s="326" t="e">
        <f>Tracking_SI[[#This Row],[Chênh lệch 
(thừa so với ĐH)]]/Tracking_SI[[#This Row],[Số  lượng trên ĐH]]</f>
        <v>#DIV/0!</v>
      </c>
    </row>
    <row r="94" spans="1:13" ht="21" customHeight="1">
      <c r="A94" s="57" t="s">
        <v>118</v>
      </c>
      <c r="B94" s="1" t="s">
        <v>200</v>
      </c>
      <c r="C94" s="152"/>
      <c r="D94" s="108">
        <v>46126</v>
      </c>
      <c r="E94" s="27" t="s">
        <v>201</v>
      </c>
      <c r="F94" s="27"/>
      <c r="G94" s="26"/>
      <c r="H94" s="164">
        <v>1303</v>
      </c>
      <c r="I94" s="185"/>
      <c r="J94" s="32"/>
      <c r="K94" s="133"/>
      <c r="L94" s="26"/>
      <c r="M94" s="326" t="e">
        <f>Tracking_SI[[#This Row],[Chênh lệch 
(thừa so với ĐH)]]/Tracking_SI[[#This Row],[Số  lượng trên ĐH]]</f>
        <v>#DIV/0!</v>
      </c>
    </row>
    <row r="95" spans="1:13" ht="21" customHeight="1">
      <c r="A95" s="57"/>
      <c r="B95" s="1" t="s">
        <v>200</v>
      </c>
      <c r="C95" s="152"/>
      <c r="D95" s="108"/>
      <c r="E95" s="27" t="s">
        <v>201</v>
      </c>
      <c r="F95" s="27"/>
      <c r="G95" s="26"/>
      <c r="H95" s="164"/>
      <c r="I95" s="185"/>
      <c r="J95" s="32"/>
      <c r="K95" s="133"/>
      <c r="L95" s="26"/>
      <c r="M95" s="326" t="e">
        <f>Tracking_SI[[#This Row],[Chênh lệch 
(thừa so với ĐH)]]/Tracking_SI[[#This Row],[Số  lượng trên ĐH]]</f>
        <v>#DIV/0!</v>
      </c>
    </row>
    <row r="96" spans="1:13" ht="21" customHeight="1">
      <c r="A96" s="58" t="s">
        <v>106</v>
      </c>
      <c r="B96" s="67"/>
      <c r="C96" s="62" t="s">
        <v>23</v>
      </c>
      <c r="D96" s="125"/>
      <c r="E96" s="125"/>
      <c r="F96" s="64"/>
      <c r="G96" s="64"/>
      <c r="H96" s="219"/>
      <c r="I96" s="211"/>
      <c r="J96" s="66"/>
      <c r="K96" s="132"/>
      <c r="L96" s="66"/>
      <c r="M96" s="323" t="e">
        <f>Tracking_SI[[#This Row],[Chênh lệch 
(thừa so với ĐH)]]/Tracking_SI[[#This Row],[Số  lượng trên ĐH]]</f>
        <v>#DIV/0!</v>
      </c>
    </row>
    <row r="97" spans="1:17" ht="21" customHeight="1">
      <c r="A97" s="58" t="s">
        <v>115</v>
      </c>
      <c r="C97" s="46"/>
      <c r="D97" s="111">
        <v>45609</v>
      </c>
      <c r="E97" s="25" t="s">
        <v>24</v>
      </c>
      <c r="F97" s="25" t="s">
        <v>8</v>
      </c>
      <c r="G97" s="24">
        <v>5768</v>
      </c>
      <c r="H97" s="164">
        <f>SUM(H98:H102)</f>
        <v>4343</v>
      </c>
      <c r="I97" s="191">
        <f>G97-H97</f>
        <v>1425</v>
      </c>
      <c r="J97" s="24">
        <v>35100</v>
      </c>
      <c r="K97" s="127" t="s">
        <v>215</v>
      </c>
      <c r="L97" s="24"/>
      <c r="M97" s="323">
        <f>Tracking_SI[[#This Row],[Chênh lệch 
(thừa so với ĐH)]]/Tracking_SI[[#This Row],[Số  lượng trên ĐH]]</f>
        <v>0.24705270457697642</v>
      </c>
    </row>
    <row r="98" spans="1:17" ht="21" customHeight="1">
      <c r="A98" s="57"/>
      <c r="C98" s="46"/>
      <c r="D98" s="108">
        <v>45660</v>
      </c>
      <c r="E98" s="27"/>
      <c r="F98" s="27"/>
      <c r="G98" s="26"/>
      <c r="H98" s="164">
        <v>931</v>
      </c>
      <c r="I98" s="187"/>
      <c r="J98" s="32"/>
      <c r="K98" s="133"/>
      <c r="L98" s="32"/>
      <c r="M98" s="323" t="e">
        <f>Tracking_SI[[#This Row],[Chênh lệch 
(thừa so với ĐH)]]/Tracking_SI[[#This Row],[Số  lượng trên ĐH]]</f>
        <v>#DIV/0!</v>
      </c>
    </row>
    <row r="99" spans="1:17" ht="21" customHeight="1">
      <c r="A99" s="57"/>
      <c r="C99" s="46"/>
      <c r="D99" s="108">
        <v>45664</v>
      </c>
      <c r="E99" s="27"/>
      <c r="F99" s="27"/>
      <c r="G99" s="26"/>
      <c r="H99" s="164">
        <v>932</v>
      </c>
      <c r="I99" s="186"/>
      <c r="J99" s="32"/>
      <c r="K99" s="133"/>
      <c r="L99" s="32"/>
      <c r="M99" s="323" t="e">
        <f>Tracking_SI[[#This Row],[Chênh lệch 
(thừa so với ĐH)]]/Tracking_SI[[#This Row],[Số  lượng trên ĐH]]</f>
        <v>#DIV/0!</v>
      </c>
    </row>
    <row r="100" spans="1:17" ht="21" customHeight="1">
      <c r="A100" s="57"/>
      <c r="C100" s="46"/>
      <c r="D100" s="108">
        <v>45666</v>
      </c>
      <c r="E100" s="27"/>
      <c r="F100" s="27"/>
      <c r="G100" s="26"/>
      <c r="H100" s="164">
        <v>932</v>
      </c>
      <c r="I100" s="186"/>
      <c r="J100" s="32"/>
      <c r="K100" s="133"/>
      <c r="L100" s="32"/>
      <c r="M100" s="323" t="e">
        <f>Tracking_SI[[#This Row],[Chênh lệch 
(thừa so với ĐH)]]/Tracking_SI[[#This Row],[Số  lượng trên ĐH]]</f>
        <v>#DIV/0!</v>
      </c>
    </row>
    <row r="101" spans="1:17" ht="21" customHeight="1">
      <c r="A101" s="57"/>
      <c r="C101" s="46"/>
      <c r="D101" s="108">
        <v>45693</v>
      </c>
      <c r="E101" s="27"/>
      <c r="F101" s="27"/>
      <c r="G101" s="26"/>
      <c r="H101" s="164">
        <v>1548</v>
      </c>
      <c r="I101" s="187"/>
      <c r="J101" s="32"/>
      <c r="K101" s="133"/>
      <c r="L101" s="32"/>
      <c r="M101" s="323" t="e">
        <f>Tracking_SI[[#This Row],[Chênh lệch 
(thừa so với ĐH)]]/Tracking_SI[[#This Row],[Số  lượng trên ĐH]]</f>
        <v>#DIV/0!</v>
      </c>
    </row>
    <row r="102" spans="1:17" ht="21" customHeight="1">
      <c r="A102" s="57"/>
      <c r="C102" s="46"/>
      <c r="D102" s="108"/>
      <c r="E102" s="27"/>
      <c r="F102" s="27"/>
      <c r="G102" s="26"/>
      <c r="H102" s="164"/>
      <c r="I102" s="188"/>
      <c r="J102" s="32"/>
      <c r="K102" s="133"/>
      <c r="L102" s="32"/>
      <c r="M102" s="323" t="e">
        <f>Tracking_SI[[#This Row],[Chênh lệch 
(thừa so với ĐH)]]/Tracking_SI[[#This Row],[Số  lượng trên ĐH]]</f>
        <v>#DIV/0!</v>
      </c>
    </row>
    <row r="103" spans="1:17" ht="21" customHeight="1">
      <c r="A103" s="58" t="s">
        <v>106</v>
      </c>
      <c r="B103" s="67"/>
      <c r="C103" s="62" t="s">
        <v>25</v>
      </c>
      <c r="D103" s="125"/>
      <c r="E103" s="69"/>
      <c r="F103" s="65"/>
      <c r="G103" s="68"/>
      <c r="H103" s="219"/>
      <c r="I103" s="210"/>
      <c r="J103" s="66"/>
      <c r="K103" s="132"/>
      <c r="L103" s="66"/>
      <c r="M103" s="323" t="e">
        <f>Tracking_SI[[#This Row],[Chênh lệch 
(thừa so với ĐH)]]/Tracking_SI[[#This Row],[Số  lượng trên ĐH]]</f>
        <v>#DIV/0!</v>
      </c>
    </row>
    <row r="104" spans="1:17" ht="21" customHeight="1">
      <c r="A104" s="57"/>
      <c r="C104" s="46"/>
      <c r="D104" s="108"/>
      <c r="E104" s="27"/>
      <c r="F104" s="34"/>
      <c r="G104" s="35"/>
      <c r="H104" s="164"/>
      <c r="I104" s="188"/>
      <c r="J104" s="35"/>
      <c r="K104" s="134"/>
      <c r="L104" s="35"/>
      <c r="M104" s="323" t="e">
        <f>Tracking_SI[[#This Row],[Chênh lệch 
(thừa so với ĐH)]]/Tracking_SI[[#This Row],[Số  lượng trên ĐH]]</f>
        <v>#DIV/0!</v>
      </c>
    </row>
    <row r="105" spans="1:17" ht="21" customHeight="1">
      <c r="A105" s="57"/>
      <c r="C105" s="46"/>
      <c r="D105" s="108"/>
      <c r="E105" s="27"/>
      <c r="F105" s="34"/>
      <c r="G105" s="35"/>
      <c r="H105" s="164"/>
      <c r="I105" s="188"/>
      <c r="J105" s="35"/>
      <c r="K105" s="134"/>
      <c r="L105" s="35"/>
      <c r="M105" s="323" t="e">
        <f>Tracking_SI[[#This Row],[Chênh lệch 
(thừa so với ĐH)]]/Tracking_SI[[#This Row],[Số  lượng trên ĐH]]</f>
        <v>#DIV/0!</v>
      </c>
    </row>
    <row r="106" spans="1:17" ht="21" customHeight="1">
      <c r="A106" s="58" t="s">
        <v>106</v>
      </c>
      <c r="B106" s="67"/>
      <c r="C106" s="62" t="s">
        <v>26</v>
      </c>
      <c r="D106" s="125"/>
      <c r="E106" s="126"/>
      <c r="F106" s="70"/>
      <c r="G106" s="71"/>
      <c r="H106" s="219"/>
      <c r="I106" s="210"/>
      <c r="J106" s="71"/>
      <c r="K106" s="135"/>
      <c r="L106" s="66"/>
      <c r="M106" s="323" t="e">
        <f>Tracking_SI[[#This Row],[Chênh lệch 
(thừa so với ĐH)]]/Tracking_SI[[#This Row],[Số  lượng trên ĐH]]</f>
        <v>#DIV/0!</v>
      </c>
    </row>
    <row r="107" spans="1:17" ht="21" customHeight="1">
      <c r="A107" s="57"/>
      <c r="C107" s="46"/>
      <c r="D107" s="111"/>
      <c r="E107" s="25"/>
      <c r="F107" s="25"/>
      <c r="G107" s="24"/>
      <c r="H107" s="164">
        <f>SUM(H108:H108)</f>
        <v>0</v>
      </c>
      <c r="I107" s="192">
        <f>G107-H107</f>
        <v>0</v>
      </c>
      <c r="J107" s="24">
        <v>34200</v>
      </c>
      <c r="K107" s="130"/>
      <c r="L107" s="24"/>
      <c r="M107" s="323" t="e">
        <f>Tracking_SI[[#This Row],[Chênh lệch 
(thừa so với ĐH)]]/Tracking_SI[[#This Row],[Số  lượng trên ĐH]]</f>
        <v>#DIV/0!</v>
      </c>
    </row>
    <row r="108" spans="1:17" ht="21" customHeight="1">
      <c r="A108" s="57"/>
      <c r="C108" s="46"/>
      <c r="D108" s="108"/>
      <c r="E108" s="27"/>
      <c r="F108" s="34"/>
      <c r="G108" s="35"/>
      <c r="H108" s="164"/>
      <c r="I108" s="188"/>
      <c r="J108" s="35"/>
      <c r="K108" s="134"/>
      <c r="L108" s="35"/>
      <c r="M108" s="323" t="e">
        <f>Tracking_SI[[#This Row],[Chênh lệch 
(thừa so với ĐH)]]/Tracking_SI[[#This Row],[Số  lượng trên ĐH]]</f>
        <v>#DIV/0!</v>
      </c>
    </row>
    <row r="109" spans="1:17" ht="21" customHeight="1">
      <c r="A109" s="58" t="s">
        <v>106</v>
      </c>
      <c r="B109" s="72" t="s">
        <v>27</v>
      </c>
      <c r="C109" s="62" t="s">
        <v>109</v>
      </c>
      <c r="D109" s="125"/>
      <c r="E109" s="126"/>
      <c r="F109" s="70"/>
      <c r="G109" s="71"/>
      <c r="H109" s="552"/>
      <c r="I109" s="209"/>
      <c r="J109" s="71"/>
      <c r="K109" s="135"/>
      <c r="L109" s="66"/>
      <c r="M109" s="323" t="e">
        <f>Tracking_SI[[#This Row],[Chênh lệch 
(thừa so với ĐH)]]/Tracking_SI[[#This Row],[Số  lượng trên ĐH]]</f>
        <v>#DIV/0!</v>
      </c>
    </row>
    <row r="110" spans="1:17" ht="21" customHeight="1">
      <c r="A110" s="58" t="s">
        <v>115</v>
      </c>
      <c r="B110" s="1" t="s">
        <v>27</v>
      </c>
      <c r="C110" s="109"/>
      <c r="D110" s="183">
        <v>45558</v>
      </c>
      <c r="E110" s="194" t="s">
        <v>28</v>
      </c>
      <c r="F110" s="28" t="s">
        <v>8</v>
      </c>
      <c r="G110" s="149">
        <v>162</v>
      </c>
      <c r="H110" s="176">
        <f>SUM(H111:H111)</f>
        <v>495</v>
      </c>
      <c r="I110" s="199">
        <f>G110-H110</f>
        <v>-333</v>
      </c>
      <c r="J110" s="149">
        <v>35800</v>
      </c>
      <c r="K110" s="195" t="s">
        <v>116</v>
      </c>
      <c r="L110" s="24"/>
      <c r="M110" s="323">
        <f>Tracking_SI[[#This Row],[Chênh lệch 
(thừa so với ĐH)]]/Tracking_SI[[#This Row],[Số  lượng trên ĐH]]</f>
        <v>-2.0555555555555554</v>
      </c>
    </row>
    <row r="111" spans="1:17" ht="21" customHeight="1">
      <c r="A111" s="57"/>
      <c r="B111" s="1" t="s">
        <v>27</v>
      </c>
      <c r="C111" s="109"/>
      <c r="D111" s="108">
        <v>45294</v>
      </c>
      <c r="E111" s="27"/>
      <c r="F111" s="34"/>
      <c r="G111" s="35"/>
      <c r="H111" s="176">
        <v>495</v>
      </c>
      <c r="I111" s="186"/>
      <c r="J111" s="35"/>
      <c r="K111" s="127" t="s">
        <v>118</v>
      </c>
      <c r="L111" s="35"/>
      <c r="M111" s="323" t="e">
        <f>Tracking_SI[[#This Row],[Chênh lệch 
(thừa so với ĐH)]]/Tracking_SI[[#This Row],[Số  lượng trên ĐH]]</f>
        <v>#DIV/0!</v>
      </c>
    </row>
    <row r="112" spans="1:17" ht="21" customHeight="1">
      <c r="A112" s="58" t="s">
        <v>115</v>
      </c>
      <c r="B112" s="1" t="s">
        <v>27</v>
      </c>
      <c r="C112" s="109"/>
      <c r="D112" s="159">
        <v>45723</v>
      </c>
      <c r="E112" s="160" t="s">
        <v>61</v>
      </c>
      <c r="F112" s="161" t="s">
        <v>8</v>
      </c>
      <c r="G112" s="236">
        <v>5000</v>
      </c>
      <c r="H112" s="235">
        <f>SUM(H113:H114)</f>
        <v>4828</v>
      </c>
      <c r="I112" s="161">
        <f>G112-H112</f>
        <v>172</v>
      </c>
      <c r="J112" s="161">
        <v>36100</v>
      </c>
      <c r="K112" s="159" t="s">
        <v>116</v>
      </c>
      <c r="L112" s="25"/>
      <c r="M112" s="324">
        <f>Tracking_SI[[#This Row],[Chênh lệch 
(thừa so với ĐH)]]/Tracking_SI[[#This Row],[Số  lượng trên ĐH]]</f>
        <v>3.44E-2</v>
      </c>
      <c r="N112" s="163"/>
      <c r="O112" s="192"/>
      <c r="P112" s="24"/>
      <c r="Q112" s="111"/>
    </row>
    <row r="113" spans="1:13" ht="21" customHeight="1">
      <c r="A113" s="57"/>
      <c r="B113" s="1" t="s">
        <v>27</v>
      </c>
      <c r="C113" s="109"/>
      <c r="D113" s="108">
        <v>45799</v>
      </c>
      <c r="E113" s="27" t="s">
        <v>61</v>
      </c>
      <c r="F113" s="34"/>
      <c r="G113" s="35"/>
      <c r="H113" s="164">
        <v>1990</v>
      </c>
      <c r="I113" s="186"/>
      <c r="J113" s="35"/>
      <c r="K113" s="134" t="s">
        <v>118</v>
      </c>
      <c r="L113" s="35"/>
      <c r="M113" s="323" t="e">
        <f>Tracking_SI[[#This Row],[Chênh lệch 
(thừa so với ĐH)]]/Tracking_SI[[#This Row],[Số  lượng trên ĐH]]</f>
        <v>#DIV/0!</v>
      </c>
    </row>
    <row r="114" spans="1:13" ht="21" customHeight="1">
      <c r="A114" s="57"/>
      <c r="B114" s="1" t="s">
        <v>27</v>
      </c>
      <c r="C114" s="109"/>
      <c r="D114" s="108">
        <v>45819</v>
      </c>
      <c r="E114" s="27" t="s">
        <v>61</v>
      </c>
      <c r="F114" s="34"/>
      <c r="G114" s="35"/>
      <c r="H114" s="164">
        <v>2838</v>
      </c>
      <c r="I114" s="186"/>
      <c r="J114" s="35"/>
      <c r="K114" s="134" t="s">
        <v>118</v>
      </c>
      <c r="L114" s="35"/>
      <c r="M114" s="323" t="e">
        <f>Tracking_SI[[#This Row],[Chênh lệch 
(thừa so với ĐH)]]/Tracking_SI[[#This Row],[Số  lượng trên ĐH]]</f>
        <v>#DIV/0!</v>
      </c>
    </row>
    <row r="115" spans="1:13" ht="21" customHeight="1">
      <c r="A115" s="57" t="s">
        <v>115</v>
      </c>
      <c r="B115" s="1" t="s">
        <v>27</v>
      </c>
      <c r="C115" s="109"/>
      <c r="D115" s="341">
        <v>46083</v>
      </c>
      <c r="E115" s="342" t="s">
        <v>211</v>
      </c>
      <c r="F115" s="376" t="s">
        <v>211</v>
      </c>
      <c r="G115" s="347">
        <v>6000</v>
      </c>
      <c r="H115" s="343">
        <f>SUM(H116:H124)</f>
        <v>1165</v>
      </c>
      <c r="I115" s="186"/>
      <c r="J115" s="347">
        <f>Tracking_SI[[#This Row],[Số  lượng trên ĐH]]-Tracking_SI[[#This Row],[Số  lượng giao]]</f>
        <v>4835</v>
      </c>
      <c r="K115" s="356"/>
      <c r="L115" s="35"/>
      <c r="M115" s="323">
        <f>Tracking_SI[[#This Row],[Chênh lệch 
(thừa so với ĐH)]]/Tracking_SI[[#This Row],[Số  lượng trên ĐH]]</f>
        <v>0</v>
      </c>
    </row>
    <row r="116" spans="1:13" ht="21" customHeight="1">
      <c r="A116" s="57" t="s">
        <v>118</v>
      </c>
      <c r="B116" s="1" t="s">
        <v>27</v>
      </c>
      <c r="C116" s="109"/>
      <c r="D116" s="108">
        <v>46129</v>
      </c>
      <c r="E116" s="27" t="s">
        <v>211</v>
      </c>
      <c r="F116" s="34" t="s">
        <v>211</v>
      </c>
      <c r="G116" s="35"/>
      <c r="H116" s="164">
        <v>1165</v>
      </c>
      <c r="I116" s="186"/>
      <c r="J116" s="35"/>
      <c r="K116" s="134"/>
      <c r="L116" s="35"/>
      <c r="M116" s="323" t="e">
        <f>Tracking_SI[[#This Row],[Chênh lệch 
(thừa so với ĐH)]]/Tracking_SI[[#This Row],[Số  lượng trên ĐH]]</f>
        <v>#DIV/0!</v>
      </c>
    </row>
    <row r="117" spans="1:13" ht="21" customHeight="1">
      <c r="A117" s="57"/>
      <c r="B117" s="1" t="s">
        <v>27</v>
      </c>
      <c r="C117" s="109"/>
      <c r="D117" s="108"/>
      <c r="E117" s="27" t="s">
        <v>211</v>
      </c>
      <c r="F117" s="34" t="s">
        <v>211</v>
      </c>
      <c r="G117" s="35"/>
      <c r="H117" s="164"/>
      <c r="I117" s="186"/>
      <c r="J117" s="35"/>
      <c r="K117" s="134"/>
      <c r="L117" s="35"/>
      <c r="M117" s="323" t="e">
        <f>Tracking_SI[[#This Row],[Chênh lệch 
(thừa so với ĐH)]]/Tracking_SI[[#This Row],[Số  lượng trên ĐH]]</f>
        <v>#DIV/0!</v>
      </c>
    </row>
    <row r="118" spans="1:13" ht="21" customHeight="1">
      <c r="A118" s="57"/>
      <c r="B118" s="1" t="s">
        <v>27</v>
      </c>
      <c r="C118" s="109"/>
      <c r="D118" s="108"/>
      <c r="E118" s="27" t="s">
        <v>211</v>
      </c>
      <c r="F118" s="34" t="s">
        <v>211</v>
      </c>
      <c r="G118" s="35"/>
      <c r="H118" s="164"/>
      <c r="I118" s="186"/>
      <c r="J118" s="35"/>
      <c r="K118" s="134"/>
      <c r="L118" s="35"/>
      <c r="M118" s="323" t="e">
        <f>Tracking_SI[[#This Row],[Chênh lệch 
(thừa so với ĐH)]]/Tracking_SI[[#This Row],[Số  lượng trên ĐH]]</f>
        <v>#DIV/0!</v>
      </c>
    </row>
    <row r="119" spans="1:13" ht="21" customHeight="1">
      <c r="A119" s="57"/>
      <c r="B119" s="1" t="s">
        <v>27</v>
      </c>
      <c r="C119" s="109"/>
      <c r="D119" s="108"/>
      <c r="E119" s="27" t="s">
        <v>211</v>
      </c>
      <c r="F119" s="34" t="s">
        <v>211</v>
      </c>
      <c r="G119" s="35"/>
      <c r="H119" s="164"/>
      <c r="I119" s="186"/>
      <c r="J119" s="35"/>
      <c r="K119" s="134"/>
      <c r="L119" s="35"/>
      <c r="M119" s="323" t="e">
        <f>Tracking_SI[[#This Row],[Chênh lệch 
(thừa so với ĐH)]]/Tracking_SI[[#This Row],[Số  lượng trên ĐH]]</f>
        <v>#DIV/0!</v>
      </c>
    </row>
    <row r="120" spans="1:13" ht="21" customHeight="1">
      <c r="A120" s="57"/>
      <c r="B120" s="1" t="s">
        <v>27</v>
      </c>
      <c r="C120" s="109"/>
      <c r="D120" s="108"/>
      <c r="E120" s="27" t="s">
        <v>211</v>
      </c>
      <c r="F120" s="34" t="s">
        <v>211</v>
      </c>
      <c r="G120" s="35"/>
      <c r="H120" s="164"/>
      <c r="I120" s="186"/>
      <c r="J120" s="35"/>
      <c r="K120" s="134"/>
      <c r="L120" s="35"/>
      <c r="M120" s="323" t="e">
        <f>Tracking_SI[[#This Row],[Chênh lệch 
(thừa so với ĐH)]]/Tracking_SI[[#This Row],[Số  lượng trên ĐH]]</f>
        <v>#DIV/0!</v>
      </c>
    </row>
    <row r="121" spans="1:13" ht="21" customHeight="1">
      <c r="A121" s="57"/>
      <c r="B121" s="1" t="s">
        <v>27</v>
      </c>
      <c r="C121" s="109"/>
      <c r="D121" s="108"/>
      <c r="E121" s="27" t="s">
        <v>211</v>
      </c>
      <c r="F121" s="34" t="s">
        <v>211</v>
      </c>
      <c r="G121" s="35"/>
      <c r="H121" s="164"/>
      <c r="I121" s="186"/>
      <c r="J121" s="35"/>
      <c r="K121" s="134"/>
      <c r="L121" s="35"/>
      <c r="M121" s="323" t="e">
        <f>Tracking_SI[[#This Row],[Chênh lệch 
(thừa so với ĐH)]]/Tracking_SI[[#This Row],[Số  lượng trên ĐH]]</f>
        <v>#DIV/0!</v>
      </c>
    </row>
    <row r="122" spans="1:13" ht="21" customHeight="1">
      <c r="A122" s="57"/>
      <c r="B122" s="1" t="s">
        <v>27</v>
      </c>
      <c r="C122" s="109"/>
      <c r="D122" s="108"/>
      <c r="E122" s="27" t="s">
        <v>211</v>
      </c>
      <c r="F122" s="34" t="s">
        <v>211</v>
      </c>
      <c r="G122" s="35"/>
      <c r="H122" s="164"/>
      <c r="I122" s="186"/>
      <c r="J122" s="35"/>
      <c r="K122" s="134"/>
      <c r="L122" s="35"/>
      <c r="M122" s="323" t="e">
        <f>Tracking_SI[[#This Row],[Chênh lệch 
(thừa so với ĐH)]]/Tracking_SI[[#This Row],[Số  lượng trên ĐH]]</f>
        <v>#DIV/0!</v>
      </c>
    </row>
    <row r="123" spans="1:13" ht="21" customHeight="1">
      <c r="A123" s="57"/>
      <c r="B123" s="1" t="s">
        <v>27</v>
      </c>
      <c r="C123" s="109"/>
      <c r="D123" s="108"/>
      <c r="E123" s="27" t="s">
        <v>211</v>
      </c>
      <c r="F123" s="34" t="s">
        <v>211</v>
      </c>
      <c r="G123" s="35"/>
      <c r="H123" s="164"/>
      <c r="I123" s="186"/>
      <c r="J123" s="35"/>
      <c r="K123" s="134"/>
      <c r="L123" s="35"/>
      <c r="M123" s="323" t="e">
        <f>Tracking_SI[[#This Row],[Chênh lệch 
(thừa so với ĐH)]]/Tracking_SI[[#This Row],[Số  lượng trên ĐH]]</f>
        <v>#DIV/0!</v>
      </c>
    </row>
    <row r="124" spans="1:13" ht="21" customHeight="1">
      <c r="A124" s="57"/>
      <c r="B124" s="1" t="s">
        <v>27</v>
      </c>
      <c r="C124" s="109"/>
      <c r="D124" s="108"/>
      <c r="E124" s="27"/>
      <c r="F124" s="34"/>
      <c r="G124" s="35"/>
      <c r="H124" s="164"/>
      <c r="I124" s="187"/>
      <c r="J124" s="35"/>
      <c r="K124" s="134"/>
      <c r="L124" s="35"/>
      <c r="M124" s="323" t="e">
        <f>Tracking_SI[[#This Row],[Chênh lệch 
(thừa so với ĐH)]]/Tracking_SI[[#This Row],[Số  lượng trên ĐH]]</f>
        <v>#DIV/0!</v>
      </c>
    </row>
    <row r="125" spans="1:13" ht="21" customHeight="1">
      <c r="A125" s="58" t="s">
        <v>106</v>
      </c>
      <c r="B125" s="67"/>
      <c r="C125" s="62" t="s">
        <v>125</v>
      </c>
      <c r="D125" s="125"/>
      <c r="E125" s="126"/>
      <c r="F125" s="70"/>
      <c r="G125" s="71"/>
      <c r="H125" s="219"/>
      <c r="I125" s="210"/>
      <c r="J125" s="71"/>
      <c r="K125" s="135"/>
      <c r="L125" s="66"/>
      <c r="M125" s="323" t="e">
        <f>Tracking_SI[[#This Row],[Chênh lệch 
(thừa so với ĐH)]]/Tracking_SI[[#This Row],[Số  lượng trên ĐH]]</f>
        <v>#DIV/0!</v>
      </c>
    </row>
    <row r="126" spans="1:13" ht="21" customHeight="1">
      <c r="A126" s="58" t="s">
        <v>115</v>
      </c>
      <c r="C126" s="46"/>
      <c r="D126" s="111">
        <v>45341</v>
      </c>
      <c r="E126" s="25" t="s">
        <v>29</v>
      </c>
      <c r="F126" s="25" t="s">
        <v>8</v>
      </c>
      <c r="G126" s="24">
        <v>5000</v>
      </c>
      <c r="H126" s="164">
        <f>SUM(H127:H128)</f>
        <v>0</v>
      </c>
      <c r="I126" s="192">
        <f>G126-H126</f>
        <v>5000</v>
      </c>
      <c r="J126" s="24">
        <v>33000</v>
      </c>
      <c r="K126" s="127" t="s">
        <v>215</v>
      </c>
      <c r="L126" s="24"/>
      <c r="M126" s="323">
        <f>Tracking_SI[[#This Row],[Chênh lệch 
(thừa so với ĐH)]]/Tracking_SI[[#This Row],[Số  lượng trên ĐH]]</f>
        <v>1</v>
      </c>
    </row>
    <row r="127" spans="1:13" ht="21" customHeight="1">
      <c r="A127" s="57"/>
      <c r="C127" s="46"/>
      <c r="D127" s="108"/>
      <c r="E127" s="27"/>
      <c r="F127" s="34"/>
      <c r="G127" s="35"/>
      <c r="H127" s="164"/>
      <c r="I127" s="188"/>
      <c r="J127" s="35"/>
      <c r="K127" s="134"/>
      <c r="L127" s="35"/>
      <c r="M127" s="323" t="e">
        <f>Tracking_SI[[#This Row],[Chênh lệch 
(thừa so với ĐH)]]/Tracking_SI[[#This Row],[Số  lượng trên ĐH]]</f>
        <v>#DIV/0!</v>
      </c>
    </row>
    <row r="128" spans="1:13" ht="21" customHeight="1">
      <c r="A128" s="57"/>
      <c r="C128" s="46"/>
      <c r="D128" s="108"/>
      <c r="E128" s="27"/>
      <c r="F128" s="34"/>
      <c r="G128" s="35"/>
      <c r="H128" s="164"/>
      <c r="I128" s="188"/>
      <c r="J128" s="35"/>
      <c r="K128" s="134"/>
      <c r="L128" s="35"/>
      <c r="M128" s="323" t="e">
        <f>Tracking_SI[[#This Row],[Chênh lệch 
(thừa so với ĐH)]]/Tracking_SI[[#This Row],[Số  lượng trên ĐH]]</f>
        <v>#DIV/0!</v>
      </c>
    </row>
    <row r="129" spans="1:19" ht="21" customHeight="1">
      <c r="A129" s="57"/>
      <c r="C129" s="46"/>
      <c r="D129" s="108"/>
      <c r="E129" s="27"/>
      <c r="F129" s="34"/>
      <c r="G129" s="35"/>
      <c r="H129" s="164"/>
      <c r="I129" s="188"/>
      <c r="J129" s="35"/>
      <c r="K129" s="134"/>
      <c r="L129" s="35"/>
      <c r="M129" s="323" t="e">
        <f>Tracking_SI[[#This Row],[Chênh lệch 
(thừa so với ĐH)]]/Tracking_SI[[#This Row],[Số  lượng trên ĐH]]</f>
        <v>#DIV/0!</v>
      </c>
    </row>
    <row r="130" spans="1:19" ht="21" customHeight="1">
      <c r="A130" s="57"/>
      <c r="B130" s="1"/>
      <c r="C130" s="46"/>
      <c r="D130" s="108"/>
      <c r="E130" s="27"/>
      <c r="F130" s="34"/>
      <c r="G130" s="35"/>
      <c r="H130" s="26"/>
      <c r="I130" s="188"/>
      <c r="J130" s="35"/>
      <c r="K130" s="134"/>
      <c r="L130" s="35"/>
      <c r="M130" s="323" t="e">
        <f>Tracking_SI[[#This Row],[Chênh lệch 
(thừa so với ĐH)]]/Tracking_SI[[#This Row],[Số  lượng trên ĐH]]</f>
        <v>#DIV/0!</v>
      </c>
    </row>
    <row r="131" spans="1:19" ht="21" customHeight="1">
      <c r="A131" s="57"/>
      <c r="B131" s="1"/>
      <c r="C131" s="46"/>
      <c r="D131" s="108"/>
      <c r="E131" s="27"/>
      <c r="F131" s="34"/>
      <c r="G131" s="35"/>
      <c r="H131" s="26"/>
      <c r="I131" s="188"/>
      <c r="J131" s="35"/>
      <c r="K131" s="134"/>
      <c r="L131" s="35"/>
      <c r="M131" s="323" t="e">
        <f>Tracking_SI[[#This Row],[Chênh lệch 
(thừa so với ĐH)]]/Tracking_SI[[#This Row],[Số  lượng trên ĐH]]</f>
        <v>#DIV/0!</v>
      </c>
    </row>
    <row r="132" spans="1:19" ht="21" customHeight="1">
      <c r="A132" s="57"/>
      <c r="B132" s="1"/>
      <c r="C132" s="46"/>
      <c r="D132" s="108"/>
      <c r="E132" s="27"/>
      <c r="F132" s="34"/>
      <c r="G132" s="35"/>
      <c r="H132" s="26"/>
      <c r="I132" s="188"/>
      <c r="J132" s="35"/>
      <c r="K132" s="134"/>
      <c r="L132" s="35"/>
      <c r="M132" s="323" t="e">
        <f>Tracking_SI[[#This Row],[Chênh lệch 
(thừa so với ĐH)]]/Tracking_SI[[#This Row],[Số  lượng trên ĐH]]</f>
        <v>#DIV/0!</v>
      </c>
    </row>
    <row r="133" spans="1:19" ht="21" customHeight="1">
      <c r="A133" s="57"/>
      <c r="B133" s="1"/>
      <c r="C133" s="46"/>
      <c r="D133" s="108"/>
      <c r="E133" s="27"/>
      <c r="F133" s="34"/>
      <c r="G133" s="35"/>
      <c r="H133" s="26"/>
      <c r="I133" s="188"/>
      <c r="J133" s="35"/>
      <c r="K133" s="134"/>
      <c r="L133" s="35"/>
      <c r="M133" s="323" t="e">
        <f>Tracking_SI[[#This Row],[Chênh lệch 
(thừa so với ĐH)]]/Tracking_SI[[#This Row],[Số  lượng trên ĐH]]</f>
        <v>#DIV/0!</v>
      </c>
    </row>
    <row r="134" spans="1:19" ht="21" customHeight="1">
      <c r="A134" s="57"/>
      <c r="B134" s="1"/>
      <c r="C134" s="46"/>
      <c r="D134" s="108"/>
      <c r="E134" s="27"/>
      <c r="F134" s="34"/>
      <c r="G134" s="35"/>
      <c r="H134" s="26"/>
      <c r="I134" s="188"/>
      <c r="J134" s="35"/>
      <c r="K134" s="134"/>
      <c r="L134" s="35"/>
      <c r="M134" s="323" t="e">
        <f>Tracking_SI[[#This Row],[Chênh lệch 
(thừa so với ĐH)]]/Tracking_SI[[#This Row],[Số  lượng trên ĐH]]</f>
        <v>#DIV/0!</v>
      </c>
    </row>
    <row r="135" spans="1:19" ht="21" customHeight="1">
      <c r="A135" s="58" t="s">
        <v>106</v>
      </c>
      <c r="B135" s="72" t="s">
        <v>121</v>
      </c>
      <c r="C135" s="62" t="s">
        <v>137</v>
      </c>
      <c r="D135" s="126"/>
      <c r="E135" s="126"/>
      <c r="F135" s="70"/>
      <c r="G135" s="71"/>
      <c r="H135" s="552"/>
      <c r="I135" s="210"/>
      <c r="J135" s="71"/>
      <c r="K135" s="135"/>
      <c r="L135" s="66"/>
      <c r="M135" s="323" t="e">
        <f>Tracking_SI[[#This Row],[Chênh lệch 
(thừa so với ĐH)]]/Tracking_SI[[#This Row],[Số  lượng trên ĐH]]</f>
        <v>#DIV/0!</v>
      </c>
    </row>
    <row r="136" spans="1:19" ht="21" customHeight="1">
      <c r="A136" s="57" t="s">
        <v>115</v>
      </c>
      <c r="B136" s="1" t="s">
        <v>121</v>
      </c>
      <c r="C136" s="46"/>
      <c r="D136" s="183">
        <v>45371</v>
      </c>
      <c r="E136" s="194" t="s">
        <v>30</v>
      </c>
      <c r="F136" s="28" t="s">
        <v>8</v>
      </c>
      <c r="G136" s="149">
        <v>4716</v>
      </c>
      <c r="H136" s="164">
        <f>SUM(H137:H140)</f>
        <v>4716</v>
      </c>
      <c r="I136" s="200">
        <f>G136-H136</f>
        <v>0</v>
      </c>
      <c r="J136" s="149">
        <v>37200</v>
      </c>
      <c r="K136" s="195" t="s">
        <v>116</v>
      </c>
      <c r="L136" s="29"/>
      <c r="M136" s="323">
        <f>Tracking_SI[[#This Row],[Chênh lệch 
(thừa so với ĐH)]]/Tracking_SI[[#This Row],[Số  lượng trên ĐH]]</f>
        <v>0</v>
      </c>
    </row>
    <row r="137" spans="1:19" ht="21" customHeight="1">
      <c r="A137" s="57"/>
      <c r="B137" s="1" t="s">
        <v>121</v>
      </c>
      <c r="C137" s="46"/>
      <c r="D137" s="108">
        <v>45667</v>
      </c>
      <c r="E137" s="27"/>
      <c r="F137" s="34"/>
      <c r="G137" s="35"/>
      <c r="H137" s="164">
        <v>1953</v>
      </c>
      <c r="I137" s="185"/>
      <c r="J137" s="35"/>
      <c r="K137" s="127" t="s">
        <v>118</v>
      </c>
      <c r="L137" s="35"/>
      <c r="M137" s="323" t="e">
        <f>Tracking_SI[[#This Row],[Chênh lệch 
(thừa so với ĐH)]]/Tracking_SI[[#This Row],[Số  lượng trên ĐH]]</f>
        <v>#DIV/0!</v>
      </c>
    </row>
    <row r="138" spans="1:19" ht="21" customHeight="1">
      <c r="A138" s="57"/>
      <c r="B138" s="1" t="s">
        <v>121</v>
      </c>
      <c r="C138" s="46"/>
      <c r="D138" s="108">
        <v>45703</v>
      </c>
      <c r="E138" s="27"/>
      <c r="F138" s="34"/>
      <c r="G138" s="35"/>
      <c r="H138" s="164">
        <v>1167</v>
      </c>
      <c r="I138" s="186"/>
      <c r="J138" s="35"/>
      <c r="K138" s="127" t="s">
        <v>118</v>
      </c>
      <c r="L138" s="35"/>
      <c r="M138" s="323" t="e">
        <f>Tracking_SI[[#This Row],[Chênh lệch 
(thừa so với ĐH)]]/Tracking_SI[[#This Row],[Số  lượng trên ĐH]]</f>
        <v>#DIV/0!</v>
      </c>
    </row>
    <row r="139" spans="1:19" ht="21" customHeight="1">
      <c r="A139" s="57"/>
      <c r="B139" s="1" t="s">
        <v>121</v>
      </c>
      <c r="C139" s="46"/>
      <c r="D139" s="108">
        <v>45726</v>
      </c>
      <c r="E139" s="27"/>
      <c r="F139" s="34"/>
      <c r="G139" s="35"/>
      <c r="H139" s="164">
        <v>1167</v>
      </c>
      <c r="I139" s="186"/>
      <c r="J139" s="35"/>
      <c r="K139" s="127" t="s">
        <v>118</v>
      </c>
      <c r="L139" s="35"/>
      <c r="M139" s="323" t="e">
        <f>Tracking_SI[[#This Row],[Chênh lệch 
(thừa so với ĐH)]]/Tracking_SI[[#This Row],[Số  lượng trên ĐH]]</f>
        <v>#DIV/0!</v>
      </c>
    </row>
    <row r="140" spans="1:19" ht="21" customHeight="1">
      <c r="A140" s="57"/>
      <c r="B140" s="1" t="s">
        <v>121</v>
      </c>
      <c r="C140" s="46"/>
      <c r="D140" s="108">
        <v>45735</v>
      </c>
      <c r="E140" s="27"/>
      <c r="F140" s="34"/>
      <c r="G140" s="35"/>
      <c r="H140" s="164">
        <v>429</v>
      </c>
      <c r="I140" s="187"/>
      <c r="J140" s="35"/>
      <c r="K140" s="127" t="s">
        <v>118</v>
      </c>
      <c r="L140" s="35"/>
      <c r="M140" s="323" t="e">
        <f>Tracking_SI[[#This Row],[Chênh lệch 
(thừa so với ĐH)]]/Tracking_SI[[#This Row],[Số  lượng trên ĐH]]</f>
        <v>#DIV/0!</v>
      </c>
      <c r="R140" s="9"/>
      <c r="S140" s="9"/>
    </row>
    <row r="141" spans="1:19" ht="21" customHeight="1">
      <c r="A141" s="58" t="s">
        <v>115</v>
      </c>
      <c r="B141" s="1" t="s">
        <v>121</v>
      </c>
      <c r="C141" s="46"/>
      <c r="D141" s="183">
        <v>45681</v>
      </c>
      <c r="E141" s="194" t="s">
        <v>31</v>
      </c>
      <c r="F141" s="28" t="s">
        <v>21</v>
      </c>
      <c r="G141" s="149">
        <v>8000</v>
      </c>
      <c r="H141" s="164">
        <f>SUM(H142:H146)</f>
        <v>8000</v>
      </c>
      <c r="I141" s="199">
        <f>G141-H141</f>
        <v>0</v>
      </c>
      <c r="J141" s="149">
        <v>37400</v>
      </c>
      <c r="K141" s="195" t="s">
        <v>116</v>
      </c>
      <c r="L141" s="29"/>
      <c r="M141" s="323">
        <f>Tracking_SI[[#This Row],[Chênh lệch 
(thừa so với ĐH)]]/Tracking_SI[[#This Row],[Số  lượng trên ĐH]]</f>
        <v>0</v>
      </c>
    </row>
    <row r="142" spans="1:19" ht="21" customHeight="1">
      <c r="A142" s="57"/>
      <c r="B142" s="1" t="s">
        <v>121</v>
      </c>
      <c r="C142" s="46"/>
      <c r="D142" s="108">
        <v>45735</v>
      </c>
      <c r="E142" s="27"/>
      <c r="F142" s="34"/>
      <c r="G142" s="35"/>
      <c r="H142" s="164">
        <v>2303</v>
      </c>
      <c r="I142" s="186"/>
      <c r="J142" s="35"/>
      <c r="K142" s="127" t="s">
        <v>118</v>
      </c>
      <c r="L142" s="35"/>
      <c r="M142" s="323" t="e">
        <f>Tracking_SI[[#This Row],[Chênh lệch 
(thừa so với ĐH)]]/Tracking_SI[[#This Row],[Số  lượng trên ĐH]]</f>
        <v>#DIV/0!</v>
      </c>
    </row>
    <row r="143" spans="1:19" ht="21" customHeight="1">
      <c r="A143" s="57"/>
      <c r="B143" s="1" t="s">
        <v>121</v>
      </c>
      <c r="C143" s="46"/>
      <c r="D143" s="108">
        <v>45742</v>
      </c>
      <c r="E143" s="27"/>
      <c r="F143" s="34"/>
      <c r="G143" s="35"/>
      <c r="H143" s="164">
        <v>1579</v>
      </c>
      <c r="I143" s="187"/>
      <c r="J143" s="35"/>
      <c r="K143" s="127" t="s">
        <v>118</v>
      </c>
      <c r="L143" s="35"/>
      <c r="M143" s="323" t="e">
        <f>Tracking_SI[[#This Row],[Chênh lệch 
(thừa so với ĐH)]]/Tracking_SI[[#This Row],[Số  lượng trên ĐH]]</f>
        <v>#DIV/0!</v>
      </c>
    </row>
    <row r="144" spans="1:19" ht="21" customHeight="1">
      <c r="A144" s="57"/>
      <c r="B144" s="1" t="s">
        <v>121</v>
      </c>
      <c r="C144" s="46"/>
      <c r="D144" s="108">
        <v>45759</v>
      </c>
      <c r="E144" s="27"/>
      <c r="F144" s="34"/>
      <c r="G144" s="35"/>
      <c r="H144" s="164">
        <v>1564</v>
      </c>
      <c r="I144" s="188"/>
      <c r="J144" s="35"/>
      <c r="K144" s="127" t="s">
        <v>118</v>
      </c>
      <c r="L144" s="35"/>
      <c r="M144" s="323" t="e">
        <f>Tracking_SI[[#This Row],[Chênh lệch 
(thừa so với ĐH)]]/Tracking_SI[[#This Row],[Số  lượng trên ĐH]]</f>
        <v>#DIV/0!</v>
      </c>
    </row>
    <row r="145" spans="1:13" ht="21" customHeight="1">
      <c r="A145" s="57"/>
      <c r="B145" s="1" t="s">
        <v>121</v>
      </c>
      <c r="C145" s="46"/>
      <c r="D145" s="108">
        <v>45769</v>
      </c>
      <c r="E145" s="27"/>
      <c r="F145" s="34"/>
      <c r="G145" s="35"/>
      <c r="H145" s="164">
        <v>1584</v>
      </c>
      <c r="I145" s="188"/>
      <c r="J145" s="35"/>
      <c r="K145" s="127" t="s">
        <v>118</v>
      </c>
      <c r="L145" s="35"/>
      <c r="M145" s="323" t="e">
        <f>Tracking_SI[[#This Row],[Chênh lệch 
(thừa so với ĐH)]]/Tracking_SI[[#This Row],[Số  lượng trên ĐH]]</f>
        <v>#DIV/0!</v>
      </c>
    </row>
    <row r="146" spans="1:13" ht="21" customHeight="1">
      <c r="A146" s="57"/>
      <c r="B146" s="1" t="s">
        <v>121</v>
      </c>
      <c r="C146" s="46"/>
      <c r="D146" s="108">
        <v>45776</v>
      </c>
      <c r="E146" s="27"/>
      <c r="F146" s="34"/>
      <c r="G146" s="35"/>
      <c r="H146" s="164">
        <v>970</v>
      </c>
      <c r="I146" s="188"/>
      <c r="J146" s="35"/>
      <c r="K146" s="127" t="s">
        <v>118</v>
      </c>
      <c r="L146" s="35"/>
      <c r="M146" s="323" t="e">
        <f>Tracking_SI[[#This Row],[Chênh lệch 
(thừa so với ĐH)]]/Tracking_SI[[#This Row],[Số  lượng trên ĐH]]</f>
        <v>#DIV/0!</v>
      </c>
    </row>
    <row r="147" spans="1:13" ht="21" customHeight="1">
      <c r="A147" s="57" t="s">
        <v>115</v>
      </c>
      <c r="B147" s="1" t="s">
        <v>121</v>
      </c>
      <c r="C147" s="46"/>
      <c r="D147" s="183">
        <v>45734</v>
      </c>
      <c r="E147" s="194" t="s">
        <v>32</v>
      </c>
      <c r="F147" s="28" t="s">
        <v>8</v>
      </c>
      <c r="G147" s="149">
        <v>5000</v>
      </c>
      <c r="H147" s="164">
        <f>SUM(H148:H148)</f>
        <v>5000</v>
      </c>
      <c r="I147" s="200">
        <f>G147-H147</f>
        <v>0</v>
      </c>
      <c r="J147" s="149">
        <v>37400</v>
      </c>
      <c r="K147" s="195" t="s">
        <v>116</v>
      </c>
      <c r="L147" s="29"/>
      <c r="M147" s="323">
        <f>Tracking_SI[[#This Row],[Chênh lệch 
(thừa so với ĐH)]]/Tracking_SI[[#This Row],[Số  lượng trên ĐH]]</f>
        <v>0</v>
      </c>
    </row>
    <row r="148" spans="1:13" ht="21" customHeight="1">
      <c r="A148" s="57"/>
      <c r="B148" s="1" t="s">
        <v>121</v>
      </c>
      <c r="C148" s="46"/>
      <c r="D148" s="108">
        <v>45785</v>
      </c>
      <c r="E148" s="27"/>
      <c r="F148" s="34"/>
      <c r="G148" s="35"/>
      <c r="H148" s="164">
        <v>5000</v>
      </c>
      <c r="I148" s="188"/>
      <c r="J148" s="35"/>
      <c r="K148" s="127" t="s">
        <v>118</v>
      </c>
      <c r="L148" s="35"/>
      <c r="M148" s="323" t="e">
        <f>Tracking_SI[[#This Row],[Chênh lệch 
(thừa so với ĐH)]]/Tracking_SI[[#This Row],[Số  lượng trên ĐH]]</f>
        <v>#DIV/0!</v>
      </c>
    </row>
    <row r="149" spans="1:13" ht="21" customHeight="1">
      <c r="A149" s="57" t="s">
        <v>115</v>
      </c>
      <c r="B149" s="1" t="s">
        <v>121</v>
      </c>
      <c r="C149" s="46"/>
      <c r="D149" s="183">
        <v>45747</v>
      </c>
      <c r="E149" s="194" t="s">
        <v>123</v>
      </c>
      <c r="F149" s="28" t="s">
        <v>8</v>
      </c>
      <c r="G149" s="149">
        <v>5000</v>
      </c>
      <c r="H149" s="164">
        <f>SUM(H150:H151)</f>
        <v>5000</v>
      </c>
      <c r="I149" s="200">
        <f>G149-H149</f>
        <v>0</v>
      </c>
      <c r="J149" s="149">
        <v>37400</v>
      </c>
      <c r="K149" s="195" t="s">
        <v>116</v>
      </c>
      <c r="L149" s="24"/>
      <c r="M149" s="323">
        <f>Tracking_SI[[#This Row],[Chênh lệch 
(thừa so với ĐH)]]/Tracking_SI[[#This Row],[Số  lượng trên ĐH]]</f>
        <v>0</v>
      </c>
    </row>
    <row r="150" spans="1:13" ht="21" customHeight="1">
      <c r="A150" s="57"/>
      <c r="B150" s="1" t="s">
        <v>121</v>
      </c>
      <c r="C150" s="46"/>
      <c r="D150" s="108">
        <v>45785</v>
      </c>
      <c r="E150" s="27"/>
      <c r="F150" s="34"/>
      <c r="G150" s="35"/>
      <c r="H150" s="164">
        <v>2309</v>
      </c>
      <c r="I150" s="188"/>
      <c r="J150" s="35"/>
      <c r="K150" s="127" t="s">
        <v>118</v>
      </c>
      <c r="L150" s="35"/>
      <c r="M150" s="323" t="e">
        <f>Tracking_SI[[#This Row],[Chênh lệch 
(thừa so với ĐH)]]/Tracking_SI[[#This Row],[Số  lượng trên ĐH]]</f>
        <v>#DIV/0!</v>
      </c>
    </row>
    <row r="151" spans="1:13" ht="21" customHeight="1">
      <c r="A151" s="57"/>
      <c r="B151" s="1" t="s">
        <v>121</v>
      </c>
      <c r="C151" s="46"/>
      <c r="D151" s="108">
        <v>45805</v>
      </c>
      <c r="E151" s="27"/>
      <c r="F151" s="34"/>
      <c r="G151" s="30"/>
      <c r="H151" s="164">
        <v>2691</v>
      </c>
      <c r="I151" s="185"/>
      <c r="J151" s="35"/>
      <c r="K151" s="127" t="s">
        <v>118</v>
      </c>
      <c r="L151" s="35"/>
      <c r="M151" s="323" t="e">
        <f>Tracking_SI[[#This Row],[Chênh lệch 
(thừa so với ĐH)]]/Tracking_SI[[#This Row],[Số  lượng trên ĐH]]</f>
        <v>#DIV/0!</v>
      </c>
    </row>
    <row r="152" spans="1:13" ht="21" customHeight="1">
      <c r="A152" s="58" t="s">
        <v>115</v>
      </c>
      <c r="B152" s="1" t="s">
        <v>121</v>
      </c>
      <c r="C152" s="46"/>
      <c r="D152" s="154">
        <v>45761</v>
      </c>
      <c r="E152" s="155" t="s">
        <v>19</v>
      </c>
      <c r="F152" s="25" t="s">
        <v>8</v>
      </c>
      <c r="G152" s="156">
        <v>10000</v>
      </c>
      <c r="H152" s="168">
        <f>SUM(H153:H157)</f>
        <v>10000</v>
      </c>
      <c r="I152" s="201">
        <f>G152-H152</f>
        <v>0</v>
      </c>
      <c r="J152" s="161">
        <v>37400</v>
      </c>
      <c r="K152" s="130" t="s">
        <v>116</v>
      </c>
      <c r="L152" s="24"/>
      <c r="M152" s="323">
        <f>Tracking_SI[[#This Row],[Chênh lệch 
(thừa so với ĐH)]]/Tracking_SI[[#This Row],[Số  lượng trên ĐH]]</f>
        <v>0</v>
      </c>
    </row>
    <row r="153" spans="1:13" ht="21" customHeight="1">
      <c r="A153" s="57"/>
      <c r="B153" s="1" t="s">
        <v>121</v>
      </c>
      <c r="C153" s="46"/>
      <c r="D153" s="108">
        <v>45805</v>
      </c>
      <c r="E153" s="27" t="s">
        <v>19</v>
      </c>
      <c r="F153" s="34"/>
      <c r="G153" s="35"/>
      <c r="H153" s="164">
        <f>3926-H151</f>
        <v>1235</v>
      </c>
      <c r="I153" s="186"/>
      <c r="J153" s="35"/>
      <c r="K153" s="127" t="s">
        <v>118</v>
      </c>
      <c r="L153" s="35"/>
      <c r="M153" s="323" t="e">
        <f>Tracking_SI[[#This Row],[Chênh lệch 
(thừa so với ĐH)]]/Tracking_SI[[#This Row],[Số  lượng trên ĐH]]</f>
        <v>#DIV/0!</v>
      </c>
    </row>
    <row r="154" spans="1:13" ht="21" customHeight="1">
      <c r="A154" s="57"/>
      <c r="B154" s="1" t="s">
        <v>121</v>
      </c>
      <c r="C154" s="46"/>
      <c r="D154" s="108">
        <v>45819</v>
      </c>
      <c r="E154" s="27" t="s">
        <v>19</v>
      </c>
      <c r="F154" s="34"/>
      <c r="G154" s="35"/>
      <c r="H154" s="164">
        <v>3166</v>
      </c>
      <c r="I154" s="186"/>
      <c r="J154" s="35"/>
      <c r="K154" s="127" t="s">
        <v>118</v>
      </c>
      <c r="L154" s="35"/>
      <c r="M154" s="323" t="e">
        <f>Tracking_SI[[#This Row],[Chênh lệch 
(thừa so với ĐH)]]/Tracking_SI[[#This Row],[Số  lượng trên ĐH]]</f>
        <v>#DIV/0!</v>
      </c>
    </row>
    <row r="155" spans="1:13" ht="21" customHeight="1">
      <c r="A155" s="57"/>
      <c r="B155" s="1" t="s">
        <v>121</v>
      </c>
      <c r="C155" s="46"/>
      <c r="D155" s="108">
        <v>45852</v>
      </c>
      <c r="E155" s="27" t="s">
        <v>19</v>
      </c>
      <c r="F155" s="34"/>
      <c r="G155" s="35"/>
      <c r="H155" s="164">
        <v>2356</v>
      </c>
      <c r="I155" s="186"/>
      <c r="J155" s="35"/>
      <c r="K155" s="127" t="s">
        <v>118</v>
      </c>
      <c r="L155" s="35"/>
      <c r="M155" s="323" t="e">
        <f>Tracking_SI[[#This Row],[Chênh lệch 
(thừa so với ĐH)]]/Tracking_SI[[#This Row],[Số  lượng trên ĐH]]</f>
        <v>#DIV/0!</v>
      </c>
    </row>
    <row r="156" spans="1:13" ht="21" customHeight="1">
      <c r="A156" s="57"/>
      <c r="B156" s="1" t="s">
        <v>121</v>
      </c>
      <c r="C156" s="46"/>
      <c r="D156" s="108">
        <v>45861</v>
      </c>
      <c r="E156" s="27" t="s">
        <v>19</v>
      </c>
      <c r="F156" s="34"/>
      <c r="G156" s="35"/>
      <c r="H156" s="164">
        <v>1974</v>
      </c>
      <c r="I156" s="186"/>
      <c r="J156" s="35"/>
      <c r="K156" s="127" t="s">
        <v>118</v>
      </c>
      <c r="L156" s="35"/>
      <c r="M156" s="323" t="e">
        <f>Tracking_SI[[#This Row],[Chênh lệch 
(thừa so với ĐH)]]/Tracking_SI[[#This Row],[Số  lượng trên ĐH]]</f>
        <v>#DIV/0!</v>
      </c>
    </row>
    <row r="157" spans="1:13" ht="21" customHeight="1">
      <c r="A157" s="57"/>
      <c r="B157" s="1" t="s">
        <v>121</v>
      </c>
      <c r="C157" s="46"/>
      <c r="D157" s="108">
        <v>45923</v>
      </c>
      <c r="E157" s="27" t="s">
        <v>19</v>
      </c>
      <c r="F157" s="34"/>
      <c r="G157" s="35"/>
      <c r="H157" s="164">
        <v>1269</v>
      </c>
      <c r="I157" s="186"/>
      <c r="J157" s="35"/>
      <c r="K157" s="127" t="s">
        <v>118</v>
      </c>
      <c r="L157" s="35"/>
      <c r="M157" s="323" t="e">
        <f>Tracking_SI[[#This Row],[Chênh lệch 
(thừa so với ĐH)]]/Tracking_SI[[#This Row],[Số  lượng trên ĐH]]</f>
        <v>#DIV/0!</v>
      </c>
    </row>
    <row r="158" spans="1:13" ht="21" customHeight="1">
      <c r="A158" s="57" t="s">
        <v>115</v>
      </c>
      <c r="B158" s="1" t="s">
        <v>121</v>
      </c>
      <c r="C158" s="46"/>
      <c r="D158" s="113">
        <v>45862</v>
      </c>
      <c r="E158" s="28" t="s">
        <v>169</v>
      </c>
      <c r="F158" s="34"/>
      <c r="G158" s="29">
        <v>10000</v>
      </c>
      <c r="H158" s="172">
        <f>SUM(H159:H163)</f>
        <v>9937</v>
      </c>
      <c r="I158" s="299">
        <f>Tracking_SI[[#This Row],[Số  lượng trên ĐH]]-Tracking_SI[[#This Row],[Số  lượng giao]]</f>
        <v>63</v>
      </c>
      <c r="J158" s="35"/>
      <c r="K158" s="127" t="s">
        <v>116</v>
      </c>
      <c r="L158" s="35"/>
      <c r="M158" s="323">
        <f>Tracking_SI[[#This Row],[Chênh lệch 
(thừa so với ĐH)]]/Tracking_SI[[#This Row],[Số  lượng trên ĐH]]</f>
        <v>6.3E-3</v>
      </c>
    </row>
    <row r="159" spans="1:13" ht="21" customHeight="1">
      <c r="A159" s="57"/>
      <c r="B159" s="1" t="s">
        <v>121</v>
      </c>
      <c r="C159" s="46"/>
      <c r="D159" s="108">
        <v>45923</v>
      </c>
      <c r="E159" s="27" t="s">
        <v>169</v>
      </c>
      <c r="F159" s="34"/>
      <c r="G159" s="35"/>
      <c r="H159" s="164">
        <v>1850</v>
      </c>
      <c r="I159" s="186"/>
      <c r="J159" s="35"/>
      <c r="K159" s="127" t="s">
        <v>118</v>
      </c>
      <c r="L159" s="35"/>
      <c r="M159" s="323" t="e">
        <f>Tracking_SI[[#This Row],[Chênh lệch 
(thừa so với ĐH)]]/Tracking_SI[[#This Row],[Số  lượng trên ĐH]]</f>
        <v>#DIV/0!</v>
      </c>
    </row>
    <row r="160" spans="1:13" ht="21" customHeight="1">
      <c r="A160" s="57"/>
      <c r="B160" s="1" t="s">
        <v>121</v>
      </c>
      <c r="C160" s="46"/>
      <c r="D160" s="108">
        <v>46018</v>
      </c>
      <c r="E160" s="27" t="s">
        <v>169</v>
      </c>
      <c r="F160" s="34"/>
      <c r="G160" s="32"/>
      <c r="H160" s="164">
        <v>1778</v>
      </c>
      <c r="I160" s="345"/>
      <c r="J160" s="35"/>
      <c r="K160" s="346" t="s">
        <v>118</v>
      </c>
      <c r="L160" s="35"/>
      <c r="M160" s="323" t="e">
        <f>Tracking_SI[[#This Row],[Chênh lệch 
(thừa so với ĐH)]]/Tracking_SI[[#This Row],[Số  lượng trên ĐH]]</f>
        <v>#DIV/0!</v>
      </c>
    </row>
    <row r="161" spans="1:13" ht="21" customHeight="1">
      <c r="A161" s="57"/>
      <c r="B161" s="1" t="s">
        <v>121</v>
      </c>
      <c r="C161" s="46"/>
      <c r="D161" s="108">
        <v>46057</v>
      </c>
      <c r="E161" s="27" t="s">
        <v>169</v>
      </c>
      <c r="F161" s="34"/>
      <c r="G161" s="32"/>
      <c r="H161" s="164">
        <v>1968</v>
      </c>
      <c r="I161" s="345"/>
      <c r="J161" s="35"/>
      <c r="K161" s="346" t="s">
        <v>118</v>
      </c>
      <c r="L161" s="35"/>
      <c r="M161" s="323" t="e">
        <f>Tracking_SI[[#This Row],[Chênh lệch 
(thừa so với ĐH)]]/Tracking_SI[[#This Row],[Số  lượng trên ĐH]]</f>
        <v>#DIV/0!</v>
      </c>
    </row>
    <row r="162" spans="1:13" ht="21" customHeight="1">
      <c r="A162" s="57"/>
      <c r="B162" s="1" t="s">
        <v>121</v>
      </c>
      <c r="C162" s="46"/>
      <c r="D162" s="108">
        <v>46079</v>
      </c>
      <c r="E162" s="27" t="s">
        <v>169</v>
      </c>
      <c r="F162" s="34"/>
      <c r="G162" s="35"/>
      <c r="H162" s="164">
        <v>2360</v>
      </c>
      <c r="I162" s="186"/>
      <c r="J162" s="35"/>
      <c r="K162" s="127" t="s">
        <v>118</v>
      </c>
      <c r="L162" s="35"/>
      <c r="M162" s="323" t="e">
        <f>Tracking_SI[[#This Row],[Chênh lệch 
(thừa so với ĐH)]]/Tracking_SI[[#This Row],[Số  lượng trên ĐH]]</f>
        <v>#DIV/0!</v>
      </c>
    </row>
    <row r="163" spans="1:13" ht="21" customHeight="1">
      <c r="A163" s="57"/>
      <c r="B163" s="1" t="s">
        <v>121</v>
      </c>
      <c r="C163" s="46"/>
      <c r="D163" s="108">
        <v>46085</v>
      </c>
      <c r="E163" s="27" t="s">
        <v>169</v>
      </c>
      <c r="F163" s="34"/>
      <c r="G163" s="35"/>
      <c r="H163" s="164">
        <v>1981</v>
      </c>
      <c r="I163" s="186"/>
      <c r="J163" s="35"/>
      <c r="K163" s="127" t="s">
        <v>118</v>
      </c>
      <c r="L163" s="35"/>
      <c r="M163" s="323" t="e">
        <f>Tracking_SI[[#This Row],[Chênh lệch 
(thừa so với ĐH)]]/Tracking_SI[[#This Row],[Số  lượng trên ĐH]]</f>
        <v>#DIV/0!</v>
      </c>
    </row>
    <row r="164" spans="1:13" ht="21" customHeight="1">
      <c r="A164" s="57" t="s">
        <v>115</v>
      </c>
      <c r="B164" s="1" t="s">
        <v>121</v>
      </c>
      <c r="C164" s="46"/>
      <c r="D164" s="341">
        <v>46007</v>
      </c>
      <c r="E164" s="342" t="s">
        <v>189</v>
      </c>
      <c r="F164" s="30"/>
      <c r="G164" s="339">
        <v>8000</v>
      </c>
      <c r="H164" s="378">
        <f>SUM(H165:H166)</f>
        <v>8251</v>
      </c>
      <c r="I164" s="186">
        <f>Tracking_SI[[#This Row],[Số  lượng trên ĐH]]-Tracking_SI[[#This Row],[Số  lượng giao]]</f>
        <v>-251</v>
      </c>
      <c r="J164" s="379">
        <f>Tracking_SI[[#This Row],[Số  lượng trên ĐH]]-Tracking_SI[[#This Row],[Số  lượng giao]]</f>
        <v>-251</v>
      </c>
      <c r="K164" s="323"/>
      <c r="L164"/>
      <c r="M164">
        <f>Tracking_SI[[#This Row],[Chênh lệch 
(thừa so với ĐH)]]/Tracking_SI[[#This Row],[Số  lượng trên ĐH]]</f>
        <v>-3.1375E-2</v>
      </c>
    </row>
    <row r="165" spans="1:13" ht="21" customHeight="1">
      <c r="A165" s="57" t="s">
        <v>118</v>
      </c>
      <c r="B165" s="1" t="s">
        <v>121</v>
      </c>
      <c r="C165" s="46"/>
      <c r="D165" s="108">
        <v>46129</v>
      </c>
      <c r="E165" s="27" t="s">
        <v>189</v>
      </c>
      <c r="F165" s="30"/>
      <c r="G165" s="35"/>
      <c r="H165" s="554">
        <v>8251</v>
      </c>
      <c r="I165" s="186"/>
      <c r="J165" s="35"/>
      <c r="K165" s="323"/>
      <c r="L165"/>
      <c r="M165" t="e">
        <f>Tracking_SI[[#This Row],[Chênh lệch 
(thừa so với ĐH)]]/Tracking_SI[[#This Row],[Số  lượng trên ĐH]]</f>
        <v>#DIV/0!</v>
      </c>
    </row>
    <row r="166" spans="1:13" ht="21" customHeight="1">
      <c r="A166" s="57"/>
      <c r="B166" s="1" t="s">
        <v>121</v>
      </c>
      <c r="C166" s="46"/>
      <c r="D166" s="359"/>
      <c r="E166" s="27" t="s">
        <v>189</v>
      </c>
      <c r="F166" s="30"/>
      <c r="G166" s="34"/>
      <c r="H166" s="344"/>
      <c r="I166" s="345"/>
      <c r="J166" s="35"/>
      <c r="K166" s="346"/>
      <c r="L166" s="35"/>
      <c r="M166" s="323" t="e">
        <f>Tracking_SI[[#This Row],[Chênh lệch 
(thừa so với ĐH)]]/Tracking_SI[[#This Row],[Số  lượng trên ĐH]]</f>
        <v>#DIV/0!</v>
      </c>
    </row>
    <row r="167" spans="1:13" ht="21" customHeight="1">
      <c r="A167" s="57" t="s">
        <v>115</v>
      </c>
      <c r="B167" s="1" t="s">
        <v>121</v>
      </c>
      <c r="C167" s="46"/>
      <c r="D167" s="341">
        <v>46083</v>
      </c>
      <c r="E167" s="342" t="s">
        <v>211</v>
      </c>
      <c r="F167" s="30" t="s">
        <v>211</v>
      </c>
      <c r="G167" s="377">
        <v>10000</v>
      </c>
      <c r="H167" s="378">
        <f>SUM(H168:H169)</f>
        <v>0</v>
      </c>
      <c r="I167" s="323"/>
      <c r="J167" s="379">
        <f>Tracking_SI[[#This Row],[Số  lượng trên ĐH]]-Tracking_SI[[#This Row],[Số  lượng giao]]</f>
        <v>10000</v>
      </c>
      <c r="K167" s="127"/>
      <c r="L167" s="35"/>
      <c r="M167" s="323">
        <f>Tracking_SI[[#This Row],[Chênh lệch 
(thừa so với ĐH)]]/Tracking_SI[[#This Row],[Số  lượng trên ĐH]]</f>
        <v>0</v>
      </c>
    </row>
    <row r="168" spans="1:13" ht="21" customHeight="1">
      <c r="A168" s="57"/>
      <c r="B168" s="1" t="s">
        <v>121</v>
      </c>
      <c r="C168" s="46"/>
      <c r="D168" s="215"/>
      <c r="E168" s="27" t="s">
        <v>211</v>
      </c>
      <c r="F168" s="30" t="s">
        <v>211</v>
      </c>
      <c r="G168" s="45"/>
      <c r="H168" s="186"/>
      <c r="I168" s="323"/>
      <c r="J168" s="35"/>
      <c r="K168" s="127"/>
      <c r="L168" s="35"/>
      <c r="M168" s="323" t="e">
        <f>Tracking_SI[[#This Row],[Chênh lệch 
(thừa so với ĐH)]]/Tracking_SI[[#This Row],[Số  lượng trên ĐH]]</f>
        <v>#DIV/0!</v>
      </c>
    </row>
    <row r="169" spans="1:13" ht="21" customHeight="1">
      <c r="A169" s="57"/>
      <c r="B169" s="1" t="s">
        <v>121</v>
      </c>
      <c r="C169" s="46"/>
      <c r="D169" s="108"/>
      <c r="E169" s="27" t="s">
        <v>211</v>
      </c>
      <c r="F169" s="30" t="s">
        <v>211</v>
      </c>
      <c r="G169" s="34"/>
      <c r="H169" s="26"/>
      <c r="I169" s="186"/>
      <c r="J169" s="35"/>
      <c r="K169" s="127"/>
      <c r="L169" s="35"/>
      <c r="M169" s="323" t="e">
        <f>Tracking_SI[[#This Row],[Chênh lệch 
(thừa so với ĐH)]]/Tracking_SI[[#This Row],[Số  lượng trên ĐH]]</f>
        <v>#DIV/0!</v>
      </c>
    </row>
    <row r="170" spans="1:13" ht="21" customHeight="1">
      <c r="A170" s="58" t="s">
        <v>106</v>
      </c>
      <c r="B170" s="67"/>
      <c r="C170" s="62" t="s">
        <v>33</v>
      </c>
      <c r="D170" s="70"/>
      <c r="E170" s="126"/>
      <c r="F170" s="70"/>
      <c r="G170" s="71"/>
      <c r="H170" s="238"/>
      <c r="I170" s="211"/>
      <c r="J170" s="71"/>
      <c r="K170" s="135"/>
      <c r="L170" s="66"/>
      <c r="M170" s="323" t="e">
        <f>Tracking_SI[[#This Row],[Chênh lệch 
(thừa so với ĐH)]]/Tracking_SI[[#This Row],[Số  lượng trên ĐH]]</f>
        <v>#DIV/0!</v>
      </c>
    </row>
    <row r="171" spans="1:13" ht="21" customHeight="1">
      <c r="A171" s="57"/>
      <c r="C171" s="46"/>
      <c r="D171" s="111"/>
      <c r="E171" s="27"/>
      <c r="F171" s="34"/>
      <c r="G171" s="35"/>
      <c r="H171" s="164"/>
      <c r="I171" s="186"/>
      <c r="J171" s="35"/>
      <c r="K171" s="134"/>
      <c r="L171" s="35"/>
      <c r="M171" s="323" t="e">
        <f>Tracking_SI[[#This Row],[Chênh lệch 
(thừa so với ĐH)]]/Tracking_SI[[#This Row],[Số  lượng trên ĐH]]</f>
        <v>#DIV/0!</v>
      </c>
    </row>
    <row r="172" spans="1:13" ht="21" customHeight="1">
      <c r="A172" s="57"/>
      <c r="C172" s="46"/>
      <c r="D172" s="111"/>
      <c r="E172" s="27"/>
      <c r="F172" s="34"/>
      <c r="G172" s="35"/>
      <c r="H172" s="164"/>
      <c r="I172" s="187"/>
      <c r="J172" s="35"/>
      <c r="K172" s="134"/>
      <c r="L172" s="35"/>
      <c r="M172" s="323" t="e">
        <f>Tracking_SI[[#This Row],[Chênh lệch 
(thừa so với ĐH)]]/Tracking_SI[[#This Row],[Số  lượng trên ĐH]]</f>
        <v>#DIV/0!</v>
      </c>
    </row>
    <row r="173" spans="1:13" ht="21" customHeight="1">
      <c r="A173" s="58" t="s">
        <v>106</v>
      </c>
      <c r="B173" s="72" t="s">
        <v>129</v>
      </c>
      <c r="C173" s="62" t="s">
        <v>181</v>
      </c>
      <c r="D173" s="70"/>
      <c r="E173" s="126"/>
      <c r="F173" s="70"/>
      <c r="G173" s="71"/>
      <c r="H173" s="219"/>
      <c r="I173" s="210"/>
      <c r="J173" s="71"/>
      <c r="K173" s="135"/>
      <c r="L173" s="66"/>
      <c r="M173" s="323" t="e">
        <f>Tracking_SI[[#This Row],[Chênh lệch 
(thừa so với ĐH)]]/Tracking_SI[[#This Row],[Số  lượng trên ĐH]]</f>
        <v>#DIV/0!</v>
      </c>
    </row>
    <row r="174" spans="1:13" ht="21" customHeight="1">
      <c r="A174" s="58" t="s">
        <v>115</v>
      </c>
      <c r="B174" s="1" t="s">
        <v>129</v>
      </c>
      <c r="C174" s="46"/>
      <c r="D174" s="183">
        <v>45419</v>
      </c>
      <c r="E174" s="194" t="s">
        <v>34</v>
      </c>
      <c r="F174" s="28" t="s">
        <v>8</v>
      </c>
      <c r="G174" s="149">
        <v>2822</v>
      </c>
      <c r="H174" s="176">
        <f>SUM(H175:H175)</f>
        <v>2677</v>
      </c>
      <c r="I174" s="200">
        <f>G174-H174</f>
        <v>145</v>
      </c>
      <c r="J174" s="149">
        <v>36900</v>
      </c>
      <c r="K174" s="195" t="s">
        <v>116</v>
      </c>
      <c r="L174" s="24"/>
      <c r="M174" s="323">
        <f>Tracking_SI[[#This Row],[Chênh lệch 
(thừa so với ĐH)]]/Tracking_SI[[#This Row],[Số  lượng trên ĐH]]</f>
        <v>5.1381998582565556E-2</v>
      </c>
    </row>
    <row r="175" spans="1:13" ht="21" customHeight="1">
      <c r="A175" s="57"/>
      <c r="B175" s="1" t="s">
        <v>129</v>
      </c>
      <c r="C175" s="46"/>
      <c r="D175" s="148">
        <v>45770</v>
      </c>
      <c r="E175" s="27"/>
      <c r="F175" s="34"/>
      <c r="G175" s="35"/>
      <c r="H175" s="176">
        <v>2677</v>
      </c>
      <c r="I175" s="188"/>
      <c r="J175" s="35"/>
      <c r="K175" s="130" t="s">
        <v>118</v>
      </c>
      <c r="L175" s="35"/>
      <c r="M175" s="323" t="e">
        <f>Tracking_SI[[#This Row],[Chênh lệch 
(thừa so với ĐH)]]/Tracking_SI[[#This Row],[Số  lượng trên ĐH]]</f>
        <v>#DIV/0!</v>
      </c>
    </row>
    <row r="176" spans="1:13" ht="21" customHeight="1">
      <c r="A176" s="58" t="s">
        <v>115</v>
      </c>
      <c r="B176" s="1" t="s">
        <v>129</v>
      </c>
      <c r="C176" s="46"/>
      <c r="D176" s="154">
        <v>45766</v>
      </c>
      <c r="E176" s="155" t="s">
        <v>35</v>
      </c>
      <c r="F176" s="25" t="s">
        <v>8</v>
      </c>
      <c r="G176" s="156">
        <v>5000</v>
      </c>
      <c r="H176" s="333">
        <f>SUM(H177:H183)</f>
        <v>4805</v>
      </c>
      <c r="I176" s="202">
        <f>G176-H176</f>
        <v>195</v>
      </c>
      <c r="J176" s="24">
        <v>36100</v>
      </c>
      <c r="K176" s="182" t="s">
        <v>116</v>
      </c>
      <c r="L176" s="24"/>
      <c r="M176" s="323">
        <f>Tracking_SI[[#This Row],[Chênh lệch 
(thừa so với ĐH)]]/Tracking_SI[[#This Row],[Số  lượng trên ĐH]]</f>
        <v>3.9E-2</v>
      </c>
    </row>
    <row r="177" spans="1:13" ht="21" customHeight="1">
      <c r="A177" s="57"/>
      <c r="B177" s="1" t="s">
        <v>129</v>
      </c>
      <c r="C177" s="46"/>
      <c r="D177" s="148">
        <v>45772</v>
      </c>
      <c r="E177" s="27" t="s">
        <v>35</v>
      </c>
      <c r="F177" s="34"/>
      <c r="G177" s="35"/>
      <c r="H177" s="164">
        <v>598</v>
      </c>
      <c r="I177" s="188"/>
      <c r="J177" s="35"/>
      <c r="K177" s="134"/>
      <c r="L177" s="35"/>
      <c r="M177" s="323" t="e">
        <f>Tracking_SI[[#This Row],[Chênh lệch 
(thừa so với ĐH)]]/Tracking_SI[[#This Row],[Số  lượng trên ĐH]]</f>
        <v>#DIV/0!</v>
      </c>
    </row>
    <row r="178" spans="1:13" ht="21" customHeight="1">
      <c r="A178" s="57"/>
      <c r="B178" s="1" t="s">
        <v>129</v>
      </c>
      <c r="C178" s="46"/>
      <c r="D178" s="148">
        <v>45776</v>
      </c>
      <c r="E178" s="27" t="s">
        <v>35</v>
      </c>
      <c r="F178" s="34"/>
      <c r="G178" s="35"/>
      <c r="H178" s="164">
        <v>900</v>
      </c>
      <c r="I178" s="188"/>
      <c r="J178" s="35"/>
      <c r="K178" s="134"/>
      <c r="L178" s="35"/>
      <c r="M178" s="323" t="e">
        <f>Tracking_SI[[#This Row],[Chênh lệch 
(thừa so với ĐH)]]/Tracking_SI[[#This Row],[Số  lượng trên ĐH]]</f>
        <v>#DIV/0!</v>
      </c>
    </row>
    <row r="179" spans="1:13" ht="21" customHeight="1">
      <c r="A179" s="57"/>
      <c r="B179" s="1" t="s">
        <v>129</v>
      </c>
      <c r="C179" s="46"/>
      <c r="D179" s="148">
        <v>45783</v>
      </c>
      <c r="E179" s="27" t="s">
        <v>35</v>
      </c>
      <c r="F179" s="34"/>
      <c r="G179" s="35"/>
      <c r="H179" s="164">
        <v>599</v>
      </c>
      <c r="I179" s="188"/>
      <c r="J179" s="35"/>
      <c r="K179" s="134"/>
      <c r="L179" s="35"/>
      <c r="M179" s="323" t="e">
        <f>Tracking_SI[[#This Row],[Chênh lệch 
(thừa so với ĐH)]]/Tracking_SI[[#This Row],[Số  lượng trên ĐH]]</f>
        <v>#DIV/0!</v>
      </c>
    </row>
    <row r="180" spans="1:13" ht="21" customHeight="1">
      <c r="A180" s="57"/>
      <c r="B180" s="1" t="s">
        <v>129</v>
      </c>
      <c r="C180" s="46"/>
      <c r="D180" s="148">
        <v>45785</v>
      </c>
      <c r="E180" s="27" t="s">
        <v>35</v>
      </c>
      <c r="F180" s="34"/>
      <c r="G180" s="35"/>
      <c r="H180" s="164">
        <v>905</v>
      </c>
      <c r="I180" s="185"/>
      <c r="J180" s="35"/>
      <c r="K180" s="134"/>
      <c r="L180" s="35"/>
      <c r="M180" s="323" t="e">
        <f>Tracking_SI[[#This Row],[Chênh lệch 
(thừa so với ĐH)]]/Tracking_SI[[#This Row],[Số  lượng trên ĐH]]</f>
        <v>#DIV/0!</v>
      </c>
    </row>
    <row r="181" spans="1:13" ht="21" customHeight="1">
      <c r="A181" s="57"/>
      <c r="B181" s="1" t="s">
        <v>129</v>
      </c>
      <c r="C181" s="46"/>
      <c r="D181" s="148">
        <v>45787</v>
      </c>
      <c r="E181" s="27" t="s">
        <v>35</v>
      </c>
      <c r="F181" s="34"/>
      <c r="G181" s="35"/>
      <c r="H181" s="164">
        <v>601</v>
      </c>
      <c r="I181" s="186"/>
      <c r="J181" s="35"/>
      <c r="K181" s="134"/>
      <c r="L181" s="35"/>
      <c r="M181" s="323" t="e">
        <f>Tracking_SI[[#This Row],[Chênh lệch 
(thừa so với ĐH)]]/Tracking_SI[[#This Row],[Số  lượng trên ĐH]]</f>
        <v>#DIV/0!</v>
      </c>
    </row>
    <row r="182" spans="1:13" ht="21" customHeight="1">
      <c r="A182" s="57"/>
      <c r="B182" s="1" t="s">
        <v>129</v>
      </c>
      <c r="C182" s="46"/>
      <c r="D182" s="148">
        <v>45948</v>
      </c>
      <c r="E182" s="27" t="s">
        <v>35</v>
      </c>
      <c r="F182" s="35"/>
      <c r="G182" s="335"/>
      <c r="H182" s="164">
        <v>1202</v>
      </c>
      <c r="I182" s="186"/>
      <c r="J182" s="35"/>
      <c r="K182" s="134"/>
      <c r="L182" s="35"/>
      <c r="M182" s="323" t="e">
        <f>Tracking_SI[[#This Row],[Chênh lệch 
(thừa so với ĐH)]]/Tracking_SI[[#This Row],[Số  lượng trên ĐH]]</f>
        <v>#DIV/0!</v>
      </c>
    </row>
    <row r="183" spans="1:13" ht="21" customHeight="1">
      <c r="A183" s="57"/>
      <c r="B183" s="1" t="s">
        <v>129</v>
      </c>
      <c r="C183" s="46"/>
      <c r="D183" s="148">
        <v>45948</v>
      </c>
      <c r="E183" s="27" t="s">
        <v>35</v>
      </c>
      <c r="F183" s="34"/>
      <c r="G183" s="35"/>
      <c r="H183" s="164"/>
      <c r="I183" s="186"/>
      <c r="J183" s="35"/>
      <c r="K183" s="134"/>
      <c r="L183" s="35"/>
      <c r="M183" s="323" t="e">
        <f>Tracking_SI[[#This Row],[Chênh lệch 
(thừa so với ĐH)]]/Tracking_SI[[#This Row],[Số  lượng trên ĐH]]</f>
        <v>#DIV/0!</v>
      </c>
    </row>
    <row r="184" spans="1:13" ht="20.25" customHeight="1">
      <c r="A184" s="58" t="s">
        <v>106</v>
      </c>
      <c r="B184" s="320" t="s">
        <v>176</v>
      </c>
      <c r="C184" s="62" t="s">
        <v>216</v>
      </c>
      <c r="D184" s="70"/>
      <c r="E184" s="126"/>
      <c r="F184" s="70"/>
      <c r="G184" s="71"/>
      <c r="H184" s="219"/>
      <c r="I184" s="210"/>
      <c r="J184" s="71"/>
      <c r="K184" s="135"/>
      <c r="L184" s="66"/>
      <c r="M184" s="323" t="e">
        <f>Tracking_SI[[#This Row],[Chênh lệch 
(thừa so với ĐH)]]/Tracking_SI[[#This Row],[Số  lượng trên ĐH]]</f>
        <v>#DIV/0!</v>
      </c>
    </row>
    <row r="185" spans="1:13" ht="20.25" customHeight="1">
      <c r="A185" s="58" t="s">
        <v>115</v>
      </c>
      <c r="B185" s="1" t="s">
        <v>176</v>
      </c>
      <c r="C185" s="46"/>
      <c r="D185" s="111">
        <v>45651</v>
      </c>
      <c r="E185" s="25" t="s">
        <v>14</v>
      </c>
      <c r="F185" s="25" t="s">
        <v>21</v>
      </c>
      <c r="G185" s="24">
        <v>5000</v>
      </c>
      <c r="H185" s="164">
        <f>SUM(H186:H192)</f>
        <v>4296</v>
      </c>
      <c r="I185" s="191">
        <f>G185-H185</f>
        <v>704</v>
      </c>
      <c r="J185" s="24">
        <v>36100</v>
      </c>
      <c r="K185" s="127" t="s">
        <v>215</v>
      </c>
      <c r="L185" s="24"/>
      <c r="M185" s="323">
        <f>Tracking_SI[[#This Row],[Chênh lệch 
(thừa so với ĐH)]]/Tracking_SI[[#This Row],[Số  lượng trên ĐH]]</f>
        <v>0.14080000000000001</v>
      </c>
    </row>
    <row r="186" spans="1:13" ht="20.25" customHeight="1">
      <c r="A186" s="57"/>
      <c r="B186" s="1" t="s">
        <v>176</v>
      </c>
      <c r="C186" s="46"/>
      <c r="D186" s="148">
        <v>45660</v>
      </c>
      <c r="E186" s="27"/>
      <c r="F186" s="34"/>
      <c r="G186" s="35"/>
      <c r="H186" s="164">
        <v>954</v>
      </c>
      <c r="I186" s="186"/>
      <c r="J186" s="35"/>
      <c r="K186" s="134"/>
      <c r="L186" s="35"/>
      <c r="M186" s="323" t="e">
        <f>Tracking_SI[[#This Row],[Chênh lệch 
(thừa so với ĐH)]]/Tracking_SI[[#This Row],[Số  lượng trên ĐH]]</f>
        <v>#DIV/0!</v>
      </c>
    </row>
    <row r="187" spans="1:13" ht="20.25" customHeight="1">
      <c r="A187" s="57"/>
      <c r="B187" s="1" t="s">
        <v>176</v>
      </c>
      <c r="C187" s="46"/>
      <c r="D187" s="148">
        <v>45664</v>
      </c>
      <c r="E187" s="27"/>
      <c r="F187" s="34"/>
      <c r="G187" s="35"/>
      <c r="H187" s="164">
        <v>1674</v>
      </c>
      <c r="I187" s="187"/>
      <c r="J187" s="35"/>
      <c r="K187" s="134"/>
      <c r="L187" s="35"/>
      <c r="M187" s="323" t="e">
        <f>Tracking_SI[[#This Row],[Chênh lệch 
(thừa so với ĐH)]]/Tracking_SI[[#This Row],[Số  lượng trên ĐH]]</f>
        <v>#DIV/0!</v>
      </c>
    </row>
    <row r="188" spans="1:13" ht="20.25" customHeight="1">
      <c r="A188" s="57"/>
      <c r="B188" s="1" t="s">
        <v>176</v>
      </c>
      <c r="C188" s="46"/>
      <c r="D188" s="148">
        <v>45672</v>
      </c>
      <c r="E188" s="27"/>
      <c r="F188" s="34"/>
      <c r="G188" s="35"/>
      <c r="H188" s="164">
        <v>1668</v>
      </c>
      <c r="I188" s="188"/>
      <c r="J188" s="35"/>
      <c r="K188" s="134"/>
      <c r="L188" s="35"/>
      <c r="M188" s="323" t="e">
        <f>Tracking_SI[[#This Row],[Chênh lệch 
(thừa so với ĐH)]]/Tracking_SI[[#This Row],[Số  lượng trên ĐH]]</f>
        <v>#DIV/0!</v>
      </c>
    </row>
    <row r="189" spans="1:13" ht="20.25" customHeight="1">
      <c r="A189" s="57" t="s">
        <v>115</v>
      </c>
      <c r="B189" s="1" t="s">
        <v>176</v>
      </c>
      <c r="C189" s="318"/>
      <c r="D189" s="300">
        <v>45846</v>
      </c>
      <c r="E189" s="321" t="s">
        <v>177</v>
      </c>
      <c r="F189" s="154"/>
      <c r="G189" s="302">
        <v>12000</v>
      </c>
      <c r="H189" s="315">
        <f>SUM(H190:H192)</f>
        <v>0</v>
      </c>
      <c r="I189" s="306">
        <f>Tracking_SI[[#This Row],[Số  lượng trên ĐH]]-Tracking_SI[[#This Row],[Số  lượng giao]]</f>
        <v>12000</v>
      </c>
      <c r="J189" s="154"/>
      <c r="K189" s="300"/>
      <c r="L189" s="35"/>
      <c r="M189" s="323">
        <f>Tracking_SI[[#This Row],[Chênh lệch 
(thừa so với ĐH)]]/Tracking_SI[[#This Row],[Số  lượng trên ĐH]]</f>
        <v>1</v>
      </c>
    </row>
    <row r="190" spans="1:13" ht="20.25" customHeight="1">
      <c r="A190" s="57"/>
      <c r="B190" s="1" t="s">
        <v>176</v>
      </c>
      <c r="C190" s="46"/>
      <c r="D190" s="148"/>
      <c r="E190" s="30" t="s">
        <v>177</v>
      </c>
      <c r="F190" s="34"/>
      <c r="G190" s="35"/>
      <c r="H190" s="164"/>
      <c r="I190" s="188"/>
      <c r="J190" s="35"/>
      <c r="K190" s="134"/>
      <c r="L190" s="35"/>
      <c r="M190" s="323" t="e">
        <f>Tracking_SI[[#This Row],[Chênh lệch 
(thừa so với ĐH)]]/Tracking_SI[[#This Row],[Số  lượng trên ĐH]]</f>
        <v>#DIV/0!</v>
      </c>
    </row>
    <row r="191" spans="1:13" ht="20.25" customHeight="1">
      <c r="A191" s="57"/>
      <c r="B191" s="1" t="s">
        <v>176</v>
      </c>
      <c r="C191" s="46"/>
      <c r="D191" s="148"/>
      <c r="E191" s="30" t="s">
        <v>177</v>
      </c>
      <c r="F191" s="34"/>
      <c r="G191" s="35"/>
      <c r="H191" s="164"/>
      <c r="I191" s="188"/>
      <c r="J191" s="35"/>
      <c r="K191" s="134"/>
      <c r="L191" s="35"/>
      <c r="M191" s="323" t="e">
        <f>Tracking_SI[[#This Row],[Chênh lệch 
(thừa so với ĐH)]]/Tracking_SI[[#This Row],[Số  lượng trên ĐH]]</f>
        <v>#DIV/0!</v>
      </c>
    </row>
    <row r="192" spans="1:13" ht="20.25" customHeight="1">
      <c r="A192" s="57"/>
      <c r="B192" s="1" t="s">
        <v>176</v>
      </c>
      <c r="C192" s="46"/>
      <c r="D192" s="111"/>
      <c r="E192" s="30" t="s">
        <v>177</v>
      </c>
      <c r="F192" s="34"/>
      <c r="G192" s="35"/>
      <c r="H192" s="164"/>
      <c r="I192" s="188"/>
      <c r="J192" s="35"/>
      <c r="K192" s="134"/>
      <c r="L192" s="35"/>
      <c r="M192" s="323" t="e">
        <f>Tracking_SI[[#This Row],[Chênh lệch 
(thừa so với ĐH)]]/Tracking_SI[[#This Row],[Số  lượng trên ĐH]]</f>
        <v>#DIV/0!</v>
      </c>
    </row>
    <row r="193" spans="1:19" ht="21" customHeight="1">
      <c r="A193" s="58" t="s">
        <v>106</v>
      </c>
      <c r="B193" s="73" t="s">
        <v>213</v>
      </c>
      <c r="C193" s="74" t="s">
        <v>214</v>
      </c>
      <c r="D193" s="75"/>
      <c r="E193" s="75"/>
      <c r="F193" s="75"/>
      <c r="G193" s="76"/>
      <c r="H193" s="220"/>
      <c r="I193" s="203"/>
      <c r="J193" s="77"/>
      <c r="K193" s="136"/>
      <c r="L193" s="77"/>
      <c r="M193" s="323" t="e">
        <f>Tracking_SI[[#This Row],[Chênh lệch 
(thừa so với ĐH)]]/Tracking_SI[[#This Row],[Số  lượng trên ĐH]]</f>
        <v>#DIV/0!</v>
      </c>
    </row>
    <row r="194" spans="1:19" ht="21" customHeight="1">
      <c r="A194" s="57" t="s">
        <v>115</v>
      </c>
      <c r="B194" s="1" t="s">
        <v>213</v>
      </c>
      <c r="C194" s="152"/>
      <c r="D194" s="341">
        <v>46086</v>
      </c>
      <c r="E194" s="342" t="s">
        <v>212</v>
      </c>
      <c r="F194" s="342"/>
      <c r="G194" s="347">
        <v>15000</v>
      </c>
      <c r="H194" s="343">
        <f>SUM(H195:H200)</f>
        <v>10690</v>
      </c>
      <c r="I194" s="356">
        <f>Tracking_SI[[#This Row],[Số  lượng trên ĐH]]-Tracking_SI[[#This Row],[Số  lượng giao]]</f>
        <v>4310</v>
      </c>
      <c r="J194" s="347"/>
      <c r="K194" s="139"/>
      <c r="L194" s="35"/>
      <c r="M194" s="326">
        <f>Tracking_SI[[#This Row],[Chênh lệch 
(thừa so với ĐH)]]/Tracking_SI[[#This Row],[Số  lượng trên ĐH]]</f>
        <v>0.28733333333333333</v>
      </c>
      <c r="R194" s="9"/>
      <c r="S194" s="9"/>
    </row>
    <row r="195" spans="1:19" ht="21" customHeight="1">
      <c r="A195" s="57" t="s">
        <v>118</v>
      </c>
      <c r="B195" s="1" t="s">
        <v>213</v>
      </c>
      <c r="C195" s="152"/>
      <c r="D195" s="108">
        <v>46118</v>
      </c>
      <c r="E195" s="30" t="s">
        <v>212</v>
      </c>
      <c r="F195" s="34"/>
      <c r="G195" s="35"/>
      <c r="H195" s="31">
        <v>10690</v>
      </c>
      <c r="I195" s="188"/>
      <c r="J195" s="32"/>
      <c r="K195" s="133"/>
      <c r="L195" s="35"/>
      <c r="M195" s="326" t="e">
        <f>Tracking_SI[[#This Row],[Chênh lệch 
(thừa so với ĐH)]]/Tracking_SI[[#This Row],[Số  lượng trên ĐH]]</f>
        <v>#DIV/0!</v>
      </c>
      <c r="R195" s="9"/>
      <c r="S195" s="9"/>
    </row>
    <row r="196" spans="1:19" ht="21" customHeight="1">
      <c r="A196" s="57"/>
      <c r="B196" s="1" t="s">
        <v>213</v>
      </c>
      <c r="C196" s="152"/>
      <c r="D196" s="111"/>
      <c r="E196" s="30" t="s">
        <v>212</v>
      </c>
      <c r="F196" s="34"/>
      <c r="G196" s="35"/>
      <c r="H196" s="31"/>
      <c r="I196" s="188"/>
      <c r="J196" s="32"/>
      <c r="K196" s="133"/>
      <c r="L196" s="35"/>
      <c r="M196" s="326" t="e">
        <f>Tracking_SI[[#This Row],[Chênh lệch 
(thừa so với ĐH)]]/Tracking_SI[[#This Row],[Số  lượng trên ĐH]]</f>
        <v>#DIV/0!</v>
      </c>
      <c r="R196" s="9"/>
      <c r="S196" s="9"/>
    </row>
    <row r="197" spans="1:19" ht="21" customHeight="1">
      <c r="A197" s="57"/>
      <c r="B197" s="1" t="s">
        <v>213</v>
      </c>
      <c r="C197" s="152"/>
      <c r="D197" s="111"/>
      <c r="E197" s="30" t="s">
        <v>212</v>
      </c>
      <c r="F197" s="34"/>
      <c r="G197" s="35"/>
      <c r="H197" s="31"/>
      <c r="I197" s="188"/>
      <c r="J197" s="32"/>
      <c r="K197" s="133"/>
      <c r="L197" s="35"/>
      <c r="M197" s="326" t="e">
        <f>Tracking_SI[[#This Row],[Chênh lệch 
(thừa so với ĐH)]]/Tracking_SI[[#This Row],[Số  lượng trên ĐH]]</f>
        <v>#DIV/0!</v>
      </c>
      <c r="R197" s="9"/>
      <c r="S197" s="9"/>
    </row>
    <row r="198" spans="1:19" ht="21" customHeight="1">
      <c r="A198" s="57"/>
      <c r="B198" s="1" t="s">
        <v>213</v>
      </c>
      <c r="C198" s="152"/>
      <c r="D198" s="111"/>
      <c r="E198" s="30" t="s">
        <v>212</v>
      </c>
      <c r="F198" s="34"/>
      <c r="G198" s="35"/>
      <c r="H198" s="31"/>
      <c r="I198" s="188"/>
      <c r="J198" s="32"/>
      <c r="K198" s="133"/>
      <c r="L198" s="35"/>
      <c r="M198" s="326" t="e">
        <f>Tracking_SI[[#This Row],[Chênh lệch 
(thừa so với ĐH)]]/Tracking_SI[[#This Row],[Số  lượng trên ĐH]]</f>
        <v>#DIV/0!</v>
      </c>
    </row>
    <row r="199" spans="1:19" ht="21" customHeight="1">
      <c r="A199" s="57"/>
      <c r="B199" s="1" t="s">
        <v>213</v>
      </c>
      <c r="C199" s="152"/>
      <c r="D199" s="111"/>
      <c r="E199" s="30" t="s">
        <v>212</v>
      </c>
      <c r="F199" s="34"/>
      <c r="G199" s="35"/>
      <c r="H199" s="31"/>
      <c r="I199" s="188"/>
      <c r="J199" s="32"/>
      <c r="K199" s="133"/>
      <c r="L199" s="35"/>
      <c r="M199" s="326" t="e">
        <f>Tracking_SI[[#This Row],[Chênh lệch 
(thừa so với ĐH)]]/Tracking_SI[[#This Row],[Số  lượng trên ĐH]]</f>
        <v>#DIV/0!</v>
      </c>
    </row>
    <row r="200" spans="1:19" ht="21" customHeight="1">
      <c r="A200" s="57"/>
      <c r="B200" s="1" t="s">
        <v>213</v>
      </c>
      <c r="C200" s="152"/>
      <c r="D200" s="111"/>
      <c r="F200" s="34"/>
      <c r="G200" s="35"/>
      <c r="H200" s="31"/>
      <c r="I200" s="188"/>
      <c r="J200" s="32"/>
      <c r="K200" s="133"/>
      <c r="L200" s="35"/>
      <c r="M200" s="326" t="e">
        <f>Tracking_SI[[#This Row],[Chênh lệch 
(thừa so với ĐH)]]/Tracking_SI[[#This Row],[Số  lượng trên ĐH]]</f>
        <v>#DIV/0!</v>
      </c>
    </row>
    <row r="201" spans="1:19" ht="21" customHeight="1">
      <c r="A201" s="58" t="s">
        <v>106</v>
      </c>
      <c r="B201" s="73" t="s">
        <v>36</v>
      </c>
      <c r="C201" s="74" t="s">
        <v>110</v>
      </c>
      <c r="D201" s="75"/>
      <c r="E201" s="75"/>
      <c r="F201" s="75"/>
      <c r="G201" s="76"/>
      <c r="H201" s="220"/>
      <c r="I201" s="203"/>
      <c r="J201" s="77"/>
      <c r="K201" s="136"/>
      <c r="L201" s="77"/>
      <c r="M201" s="323" t="e">
        <f>Tracking_SI[[#This Row],[Chênh lệch 
(thừa so với ĐH)]]/Tracking_SI[[#This Row],[Số  lượng trên ĐH]]</f>
        <v>#DIV/0!</v>
      </c>
    </row>
    <row r="202" spans="1:19" ht="21" customHeight="1">
      <c r="A202" s="58" t="s">
        <v>115</v>
      </c>
      <c r="B202" s="57" t="s">
        <v>36</v>
      </c>
      <c r="C202" s="109"/>
      <c r="D202" s="183">
        <v>45696</v>
      </c>
      <c r="E202" s="194" t="s">
        <v>37</v>
      </c>
      <c r="F202" s="28" t="s">
        <v>8</v>
      </c>
      <c r="G202" s="149">
        <v>15000</v>
      </c>
      <c r="H202" s="176">
        <f>SUM(H203:H206)</f>
        <v>15180</v>
      </c>
      <c r="I202" s="200">
        <f>G202-H202</f>
        <v>-180</v>
      </c>
      <c r="J202" s="149">
        <v>36100</v>
      </c>
      <c r="K202" s="195" t="s">
        <v>116</v>
      </c>
      <c r="L202" s="29"/>
      <c r="M202" s="323">
        <f>Tracking_SI[[#This Row],[Chênh lệch 
(thừa so với ĐH)]]/Tracking_SI[[#This Row],[Số  lượng trên ĐH]]</f>
        <v>-1.2E-2</v>
      </c>
    </row>
    <row r="203" spans="1:19" ht="21" customHeight="1">
      <c r="A203" s="57"/>
      <c r="B203" s="57" t="s">
        <v>36</v>
      </c>
      <c r="C203" s="109"/>
      <c r="D203" s="148">
        <v>45713</v>
      </c>
      <c r="E203" s="27"/>
      <c r="F203" s="27"/>
      <c r="G203" s="26"/>
      <c r="H203" s="176">
        <f>3163</f>
        <v>3163</v>
      </c>
      <c r="I203" s="187"/>
      <c r="J203" s="26"/>
      <c r="K203" s="127" t="s">
        <v>118</v>
      </c>
      <c r="L203" s="26"/>
      <c r="M203" s="323" t="e">
        <f>Tracking_SI[[#This Row],[Chênh lệch 
(thừa so với ĐH)]]/Tracking_SI[[#This Row],[Số  lượng trên ĐH]]</f>
        <v>#DIV/0!</v>
      </c>
    </row>
    <row r="204" spans="1:19" ht="21" customHeight="1">
      <c r="A204" s="57"/>
      <c r="B204" s="57" t="s">
        <v>36</v>
      </c>
      <c r="C204" s="109"/>
      <c r="D204" s="148">
        <v>45726</v>
      </c>
      <c r="E204" s="27"/>
      <c r="F204" s="27"/>
      <c r="G204" s="26"/>
      <c r="H204" s="176">
        <v>7329</v>
      </c>
      <c r="I204" s="189"/>
      <c r="J204" s="26"/>
      <c r="K204" s="127" t="s">
        <v>118</v>
      </c>
      <c r="L204" s="26"/>
      <c r="M204" s="323" t="e">
        <f>Tracking_SI[[#This Row],[Chênh lệch 
(thừa so với ĐH)]]/Tracking_SI[[#This Row],[Số  lượng trên ĐH]]</f>
        <v>#DIV/0!</v>
      </c>
    </row>
    <row r="205" spans="1:19" ht="21" customHeight="1">
      <c r="A205" s="57"/>
      <c r="B205" s="57" t="s">
        <v>36</v>
      </c>
      <c r="C205" s="109"/>
      <c r="D205" s="148">
        <v>45729</v>
      </c>
      <c r="E205" s="27"/>
      <c r="F205" s="27"/>
      <c r="G205" s="26"/>
      <c r="H205" s="176">
        <v>1293</v>
      </c>
      <c r="I205" s="186"/>
      <c r="J205" s="26"/>
      <c r="K205" s="127" t="s">
        <v>118</v>
      </c>
      <c r="L205" s="26"/>
      <c r="M205" s="323" t="e">
        <f>Tracking_SI[[#This Row],[Chênh lệch 
(thừa so với ĐH)]]/Tracking_SI[[#This Row],[Số  lượng trên ĐH]]</f>
        <v>#DIV/0!</v>
      </c>
    </row>
    <row r="206" spans="1:19" ht="21" customHeight="1">
      <c r="A206" s="57"/>
      <c r="B206" s="57" t="s">
        <v>36</v>
      </c>
      <c r="C206" s="109"/>
      <c r="D206" s="148">
        <v>45729</v>
      </c>
      <c r="E206" s="27"/>
      <c r="F206" s="27"/>
      <c r="G206" s="26"/>
      <c r="H206" s="176">
        <v>3395</v>
      </c>
      <c r="I206" s="186"/>
      <c r="J206" s="26"/>
      <c r="K206" s="127" t="s">
        <v>118</v>
      </c>
      <c r="L206" s="26"/>
      <c r="M206" s="323" t="e">
        <f>Tracking_SI[[#This Row],[Chênh lệch 
(thừa so với ĐH)]]/Tracking_SI[[#This Row],[Số  lượng trên ĐH]]</f>
        <v>#DIV/0!</v>
      </c>
    </row>
    <row r="207" spans="1:19" ht="21" customHeight="1">
      <c r="A207" s="58" t="s">
        <v>115</v>
      </c>
      <c r="B207" s="57" t="s">
        <v>36</v>
      </c>
      <c r="C207" s="109"/>
      <c r="D207" s="183">
        <v>45723</v>
      </c>
      <c r="E207" s="194" t="s">
        <v>38</v>
      </c>
      <c r="F207" s="28" t="s">
        <v>8</v>
      </c>
      <c r="G207" s="149">
        <v>20000</v>
      </c>
      <c r="H207" s="176">
        <f>SUM(H208:H215)</f>
        <v>20160</v>
      </c>
      <c r="I207" s="199">
        <f>G207-H207</f>
        <v>-160</v>
      </c>
      <c r="J207" s="149">
        <v>36100</v>
      </c>
      <c r="K207" s="195" t="s">
        <v>116</v>
      </c>
      <c r="L207" s="29"/>
      <c r="M207" s="323">
        <f>Tracking_SI[[#This Row],[Chênh lệch 
(thừa so với ĐH)]]/Tracking_SI[[#This Row],[Số  lượng trên ĐH]]</f>
        <v>-8.0000000000000002E-3</v>
      </c>
    </row>
    <row r="208" spans="1:19" ht="21" customHeight="1">
      <c r="A208" s="57"/>
      <c r="B208" s="57" t="s">
        <v>36</v>
      </c>
      <c r="C208" s="109"/>
      <c r="D208" s="148">
        <v>45731</v>
      </c>
      <c r="E208" s="27"/>
      <c r="F208" s="27"/>
      <c r="G208" s="26"/>
      <c r="H208" s="176">
        <v>1030</v>
      </c>
      <c r="I208" s="189"/>
      <c r="J208" s="26"/>
      <c r="K208" s="127" t="s">
        <v>118</v>
      </c>
      <c r="L208" s="26"/>
      <c r="M208" s="323" t="e">
        <f>Tracking_SI[[#This Row],[Chênh lệch 
(thừa so với ĐH)]]/Tracking_SI[[#This Row],[Số  lượng trên ĐH]]</f>
        <v>#DIV/0!</v>
      </c>
    </row>
    <row r="209" spans="1:20" ht="21" customHeight="1">
      <c r="A209" s="57"/>
      <c r="B209" s="57" t="s">
        <v>36</v>
      </c>
      <c r="C209" s="109"/>
      <c r="D209" s="148">
        <v>45735</v>
      </c>
      <c r="E209" s="27"/>
      <c r="F209" s="27"/>
      <c r="G209" s="26"/>
      <c r="H209" s="176">
        <v>3347</v>
      </c>
      <c r="I209" s="189"/>
      <c r="J209" s="26"/>
      <c r="K209" s="127" t="s">
        <v>118</v>
      </c>
      <c r="L209" s="26"/>
      <c r="M209" s="323" t="e">
        <f>Tracking_SI[[#This Row],[Chênh lệch 
(thừa so với ĐH)]]/Tracking_SI[[#This Row],[Số  lượng trên ĐH]]</f>
        <v>#DIV/0!</v>
      </c>
    </row>
    <row r="210" spans="1:20" ht="21" customHeight="1">
      <c r="A210" s="57"/>
      <c r="B210" s="57" t="s">
        <v>36</v>
      </c>
      <c r="C210" s="109"/>
      <c r="D210" s="148">
        <v>45752</v>
      </c>
      <c r="E210" s="27"/>
      <c r="F210" s="27"/>
      <c r="G210" s="26"/>
      <c r="H210" s="176">
        <v>3069</v>
      </c>
      <c r="I210" s="189"/>
      <c r="J210" s="26"/>
      <c r="K210" s="127" t="s">
        <v>118</v>
      </c>
      <c r="L210" s="26"/>
      <c r="M210" s="323" t="e">
        <f>Tracking_SI[[#This Row],[Chênh lệch 
(thừa so với ĐH)]]/Tracking_SI[[#This Row],[Số  lượng trên ĐH]]</f>
        <v>#DIV/0!</v>
      </c>
    </row>
    <row r="211" spans="1:20" ht="21" customHeight="1">
      <c r="A211" s="57"/>
      <c r="B211" s="57" t="s">
        <v>36</v>
      </c>
      <c r="C211" s="109"/>
      <c r="D211" s="148">
        <v>45757</v>
      </c>
      <c r="E211" s="27"/>
      <c r="F211" s="27"/>
      <c r="G211" s="26"/>
      <c r="H211" s="176">
        <v>4422</v>
      </c>
      <c r="I211" s="187"/>
      <c r="J211" s="26"/>
      <c r="K211" s="127" t="s">
        <v>118</v>
      </c>
      <c r="L211" s="26"/>
      <c r="M211" s="323" t="e">
        <f>Tracking_SI[[#This Row],[Chênh lệch 
(thừa so với ĐH)]]/Tracking_SI[[#This Row],[Số  lượng trên ĐH]]</f>
        <v>#DIV/0!</v>
      </c>
    </row>
    <row r="212" spans="1:20" ht="21" customHeight="1">
      <c r="A212" s="57"/>
      <c r="B212" s="57" t="s">
        <v>36</v>
      </c>
      <c r="C212" s="109"/>
      <c r="D212" s="148">
        <v>45759</v>
      </c>
      <c r="E212" s="27"/>
      <c r="F212" s="27"/>
      <c r="G212" s="26"/>
      <c r="H212" s="176">
        <v>3615</v>
      </c>
      <c r="I212" s="187"/>
      <c r="J212" s="26"/>
      <c r="K212" s="127" t="s">
        <v>118</v>
      </c>
      <c r="L212" s="26"/>
      <c r="M212" s="323" t="e">
        <f>Tracking_SI[[#This Row],[Chênh lệch 
(thừa so với ĐH)]]/Tracking_SI[[#This Row],[Số  lượng trên ĐH]]</f>
        <v>#DIV/0!</v>
      </c>
    </row>
    <row r="213" spans="1:20" ht="21" customHeight="1">
      <c r="A213" s="57"/>
      <c r="B213" s="57" t="s">
        <v>36</v>
      </c>
      <c r="C213" s="109"/>
      <c r="D213" s="148">
        <v>45764</v>
      </c>
      <c r="E213" s="27"/>
      <c r="F213" s="27"/>
      <c r="G213" s="26"/>
      <c r="H213" s="176">
        <v>2078</v>
      </c>
      <c r="I213" s="187"/>
      <c r="J213" s="26"/>
      <c r="K213" s="127" t="s">
        <v>118</v>
      </c>
      <c r="L213" s="26"/>
      <c r="M213" s="323" t="e">
        <f>Tracking_SI[[#This Row],[Chênh lệch 
(thừa so với ĐH)]]/Tracking_SI[[#This Row],[Số  lượng trên ĐH]]</f>
        <v>#DIV/0!</v>
      </c>
    </row>
    <row r="214" spans="1:20">
      <c r="A214" s="57"/>
      <c r="B214" s="57" t="s">
        <v>36</v>
      </c>
      <c r="C214" s="109"/>
      <c r="D214" s="148">
        <v>45766</v>
      </c>
      <c r="E214" s="27"/>
      <c r="F214" s="27"/>
      <c r="G214" s="26"/>
      <c r="H214" s="176">
        <v>1820</v>
      </c>
      <c r="I214" s="189"/>
      <c r="J214" s="26"/>
      <c r="K214" s="127" t="s">
        <v>118</v>
      </c>
      <c r="L214" s="26"/>
      <c r="M214" s="323" t="e">
        <f>Tracking_SI[[#This Row],[Chênh lệch 
(thừa so với ĐH)]]/Tracking_SI[[#This Row],[Số  lượng trên ĐH]]</f>
        <v>#DIV/0!</v>
      </c>
    </row>
    <row r="215" spans="1:20" ht="21" customHeight="1">
      <c r="A215" s="57"/>
      <c r="B215" s="57" t="s">
        <v>36</v>
      </c>
      <c r="C215" s="109"/>
      <c r="D215" s="148">
        <v>45769</v>
      </c>
      <c r="E215" s="27"/>
      <c r="F215" s="27"/>
      <c r="G215" s="26"/>
      <c r="H215" s="176">
        <v>779</v>
      </c>
      <c r="I215" s="186"/>
      <c r="J215" s="26"/>
      <c r="K215" s="127" t="s">
        <v>118</v>
      </c>
      <c r="L215" s="26"/>
      <c r="M215" s="323" t="e">
        <f>Tracking_SI[[#This Row],[Chênh lệch 
(thừa so với ĐH)]]/Tracking_SI[[#This Row],[Số  lượng trên ĐH]]</f>
        <v>#DIV/0!</v>
      </c>
    </row>
    <row r="216" spans="1:20">
      <c r="A216" s="58" t="s">
        <v>115</v>
      </c>
      <c r="B216" s="57" t="s">
        <v>36</v>
      </c>
      <c r="C216" s="109"/>
      <c r="D216" s="183">
        <v>45761</v>
      </c>
      <c r="E216" s="194" t="s">
        <v>19</v>
      </c>
      <c r="F216" s="28" t="s">
        <v>8</v>
      </c>
      <c r="G216" s="149">
        <v>20000</v>
      </c>
      <c r="H216" s="176">
        <f>SUM(H217:H222)</f>
        <v>19130</v>
      </c>
      <c r="I216" s="199">
        <f>G216-H216</f>
        <v>870</v>
      </c>
      <c r="J216" s="149">
        <v>36100</v>
      </c>
      <c r="K216" s="195" t="s">
        <v>116</v>
      </c>
      <c r="L216" s="24"/>
      <c r="M216" s="323">
        <f>Tracking_SI[[#This Row],[Chênh lệch 
(thừa so với ĐH)]]/Tracking_SI[[#This Row],[Số  lượng trên ĐH]]</f>
        <v>4.3499999999999997E-2</v>
      </c>
    </row>
    <row r="217" spans="1:20" ht="21" customHeight="1">
      <c r="A217" s="57"/>
      <c r="B217" s="57" t="s">
        <v>36</v>
      </c>
      <c r="C217" s="109"/>
      <c r="D217" s="108">
        <v>45770</v>
      </c>
      <c r="E217" s="27" t="s">
        <v>19</v>
      </c>
      <c r="F217" s="27"/>
      <c r="G217" s="26"/>
      <c r="H217" s="176">
        <v>1042</v>
      </c>
      <c r="I217" s="189"/>
      <c r="J217" s="26"/>
      <c r="K217" s="127" t="s">
        <v>118</v>
      </c>
      <c r="L217" s="26"/>
      <c r="M217" s="323" t="e">
        <f>Tracking_SI[[#This Row],[Chênh lệch 
(thừa so với ĐH)]]/Tracking_SI[[#This Row],[Số  lượng trên ĐH]]</f>
        <v>#DIV/0!</v>
      </c>
    </row>
    <row r="218" spans="1:20" ht="21" customHeight="1">
      <c r="A218" s="57"/>
      <c r="B218" s="57" t="s">
        <v>36</v>
      </c>
      <c r="C218" s="109"/>
      <c r="D218" s="108">
        <v>45772</v>
      </c>
      <c r="E218" s="27" t="s">
        <v>19</v>
      </c>
      <c r="F218" s="27"/>
      <c r="G218" s="26"/>
      <c r="H218" s="176">
        <v>3148</v>
      </c>
      <c r="I218" s="189"/>
      <c r="J218" s="26"/>
      <c r="K218" s="127" t="s">
        <v>118</v>
      </c>
      <c r="L218" s="26"/>
      <c r="M218" s="323" t="e">
        <f>Tracking_SI[[#This Row],[Chênh lệch 
(thừa so với ĐH)]]/Tracking_SI[[#This Row],[Số  lượng trên ĐH]]</f>
        <v>#DIV/0!</v>
      </c>
    </row>
    <row r="219" spans="1:20" ht="21" customHeight="1">
      <c r="A219" s="57"/>
      <c r="B219" s="57" t="s">
        <v>36</v>
      </c>
      <c r="C219" s="109"/>
      <c r="D219" s="108">
        <v>45776</v>
      </c>
      <c r="E219" s="27" t="s">
        <v>19</v>
      </c>
      <c r="F219" s="27"/>
      <c r="G219" s="26"/>
      <c r="H219" s="176">
        <v>2363</v>
      </c>
      <c r="I219" s="189"/>
      <c r="J219" s="26"/>
      <c r="K219" s="127" t="s">
        <v>118</v>
      </c>
      <c r="L219" s="26"/>
      <c r="M219" s="323" t="e">
        <f>Tracking_SI[[#This Row],[Chênh lệch 
(thừa so với ĐH)]]/Tracking_SI[[#This Row],[Số  lượng trên ĐH]]</f>
        <v>#DIV/0!</v>
      </c>
    </row>
    <row r="220" spans="1:20" ht="21" customHeight="1">
      <c r="A220" s="57"/>
      <c r="B220" s="57" t="s">
        <v>36</v>
      </c>
      <c r="C220" s="109"/>
      <c r="D220" s="108">
        <v>45793</v>
      </c>
      <c r="E220" s="27" t="s">
        <v>19</v>
      </c>
      <c r="F220" s="27"/>
      <c r="G220" s="26"/>
      <c r="H220" s="176">
        <v>5243</v>
      </c>
      <c r="I220" s="189"/>
      <c r="J220" s="26"/>
      <c r="K220" s="127" t="s">
        <v>118</v>
      </c>
      <c r="L220" s="26"/>
      <c r="M220" s="323" t="e">
        <f>Tracking_SI[[#This Row],[Chênh lệch 
(thừa so với ĐH)]]/Tracking_SI[[#This Row],[Số  lượng trên ĐH]]</f>
        <v>#DIV/0!</v>
      </c>
    </row>
    <row r="221" spans="1:20" ht="21" customHeight="1">
      <c r="A221" s="57"/>
      <c r="B221" s="57" t="s">
        <v>36</v>
      </c>
      <c r="C221" s="109"/>
      <c r="D221" s="108">
        <v>45799</v>
      </c>
      <c r="E221" s="27" t="s">
        <v>19</v>
      </c>
      <c r="F221" s="27"/>
      <c r="G221" s="26"/>
      <c r="H221" s="176">
        <v>3398</v>
      </c>
      <c r="I221" s="187"/>
      <c r="J221" s="26"/>
      <c r="K221" s="127" t="s">
        <v>118</v>
      </c>
      <c r="L221" s="26"/>
      <c r="M221" s="323" t="e">
        <f>Tracking_SI[[#This Row],[Chênh lệch 
(thừa so với ĐH)]]/Tracking_SI[[#This Row],[Số  lượng trên ĐH]]</f>
        <v>#DIV/0!</v>
      </c>
      <c r="N221" t="s">
        <v>178</v>
      </c>
    </row>
    <row r="222" spans="1:20" ht="21" customHeight="1">
      <c r="A222" s="57"/>
      <c r="B222" s="57" t="s">
        <v>36</v>
      </c>
      <c r="D222" s="108">
        <v>45801</v>
      </c>
      <c r="E222" s="27" t="s">
        <v>19</v>
      </c>
      <c r="F222" s="30"/>
      <c r="H222" s="176">
        <v>3936</v>
      </c>
      <c r="I222" s="187"/>
      <c r="J222" s="18"/>
      <c r="K222" s="127" t="s">
        <v>118</v>
      </c>
      <c r="L222"/>
      <c r="M222" s="323" t="e">
        <f>Tracking_SI[[#This Row],[Chênh lệch 
(thừa so với ĐH)]]/Tracking_SI[[#This Row],[Số  lượng trên ĐH]]</f>
        <v>#DIV/0!</v>
      </c>
    </row>
    <row r="223" spans="1:20" ht="21" customHeight="1">
      <c r="A223" s="57" t="s">
        <v>115</v>
      </c>
      <c r="B223" s="57" t="s">
        <v>36</v>
      </c>
      <c r="C223" s="48"/>
      <c r="D223" s="183">
        <v>45772</v>
      </c>
      <c r="E223" s="194" t="s">
        <v>130</v>
      </c>
      <c r="F223" s="274" t="s">
        <v>8</v>
      </c>
      <c r="G223" s="149">
        <v>16000</v>
      </c>
      <c r="H223" s="149">
        <f>SUM(H224:H227)</f>
        <v>16664</v>
      </c>
      <c r="I223" s="199">
        <f>Tracking_SI[[#This Row],[Số  lượng trên ĐH]]-Tracking_SI[[#This Row],[Số  lượng giao]]</f>
        <v>-664</v>
      </c>
      <c r="J223" s="302">
        <v>36100</v>
      </c>
      <c r="K223" s="138" t="s">
        <v>116</v>
      </c>
      <c r="L223" s="24"/>
      <c r="M223" s="323">
        <f>Tracking_SI[[#This Row],[Chênh lệch 
(thừa so với ĐH)]]/Tracking_SI[[#This Row],[Số  lượng trên ĐH]]</f>
        <v>-4.1500000000000002E-2</v>
      </c>
      <c r="R223" s="10"/>
      <c r="S223" s="10"/>
      <c r="T223" s="7"/>
    </row>
    <row r="224" spans="1:20" ht="21" customHeight="1">
      <c r="B224" s="57" t="s">
        <v>36</v>
      </c>
      <c r="C224" s="48"/>
      <c r="D224" s="114">
        <v>45807</v>
      </c>
      <c r="E224" s="27" t="s">
        <v>130</v>
      </c>
      <c r="F224" s="30"/>
      <c r="G224" s="30"/>
      <c r="H224" s="164">
        <v>6258</v>
      </c>
      <c r="I224" s="186"/>
      <c r="J224" s="18"/>
      <c r="K224" s="196" t="s">
        <v>118</v>
      </c>
      <c r="L224"/>
      <c r="M224" s="323" t="e">
        <f>Tracking_SI[[#This Row],[Chênh lệch 
(thừa so với ĐH)]]/Tracking_SI[[#This Row],[Số  lượng trên ĐH]]</f>
        <v>#DIV/0!</v>
      </c>
      <c r="R224" s="10"/>
      <c r="S224" s="10"/>
      <c r="T224" s="7"/>
    </row>
    <row r="225" spans="1:20" ht="21" customHeight="1">
      <c r="A225" s="57"/>
      <c r="B225" s="57" t="s">
        <v>36</v>
      </c>
      <c r="C225" s="109"/>
      <c r="D225" s="116">
        <v>45827</v>
      </c>
      <c r="E225" s="27" t="s">
        <v>130</v>
      </c>
      <c r="F225" s="30"/>
      <c r="G225" s="30"/>
      <c r="H225" s="164">
        <v>3399</v>
      </c>
      <c r="I225" s="189"/>
      <c r="J225" s="37"/>
      <c r="K225" s="196" t="s">
        <v>118</v>
      </c>
      <c r="L225" s="26"/>
      <c r="M225" s="323" t="e">
        <f>Tracking_SI[[#This Row],[Chênh lệch 
(thừa so với ĐH)]]/Tracking_SI[[#This Row],[Số  lượng trên ĐH]]</f>
        <v>#DIV/0!</v>
      </c>
      <c r="R225" s="10"/>
      <c r="S225" s="10"/>
      <c r="T225" s="7"/>
    </row>
    <row r="226" spans="1:20" ht="21" customHeight="1">
      <c r="A226" s="57"/>
      <c r="B226" s="57" t="s">
        <v>36</v>
      </c>
      <c r="C226" s="109"/>
      <c r="D226" s="108">
        <v>45861</v>
      </c>
      <c r="E226" s="27" t="s">
        <v>130</v>
      </c>
      <c r="F226" s="30"/>
      <c r="G226" s="30"/>
      <c r="H226" s="164">
        <v>3635</v>
      </c>
      <c r="I226" s="189"/>
      <c r="J226" s="37"/>
      <c r="K226" s="196" t="s">
        <v>118</v>
      </c>
      <c r="L226" s="26"/>
      <c r="M226" s="323" t="e">
        <f>Tracking_SI[[#This Row],[Chênh lệch 
(thừa so với ĐH)]]/Tracking_SI[[#This Row],[Số  lượng trên ĐH]]</f>
        <v>#DIV/0!</v>
      </c>
      <c r="R226" s="10"/>
      <c r="S226" s="10"/>
      <c r="T226" s="7"/>
    </row>
    <row r="227" spans="1:20" ht="21" customHeight="1">
      <c r="A227" s="57"/>
      <c r="B227" s="57" t="s">
        <v>36</v>
      </c>
      <c r="C227" s="109"/>
      <c r="D227" s="108">
        <v>45862</v>
      </c>
      <c r="E227" s="27" t="s">
        <v>130</v>
      </c>
      <c r="F227" s="30"/>
      <c r="G227" s="30"/>
      <c r="H227" s="164">
        <v>3372</v>
      </c>
      <c r="I227" s="189"/>
      <c r="J227" s="37"/>
      <c r="K227" s="196" t="s">
        <v>118</v>
      </c>
      <c r="L227" s="26"/>
      <c r="M227" s="323" t="e">
        <f>Tracking_SI[[#This Row],[Chênh lệch 
(thừa so với ĐH)]]/Tracking_SI[[#This Row],[Số  lượng trên ĐH]]</f>
        <v>#DIV/0!</v>
      </c>
    </row>
    <row r="228" spans="1:20" ht="21" customHeight="1">
      <c r="A228" s="57" t="s">
        <v>115</v>
      </c>
      <c r="B228" s="57" t="s">
        <v>36</v>
      </c>
      <c r="C228" s="152"/>
      <c r="D228" s="183">
        <v>45846</v>
      </c>
      <c r="E228" s="194" t="s">
        <v>177</v>
      </c>
      <c r="F228" s="149">
        <v>16000</v>
      </c>
      <c r="G228" s="149">
        <v>10000</v>
      </c>
      <c r="H228" s="199">
        <f>SUM(H229:H231)</f>
        <v>10342</v>
      </c>
      <c r="I228" s="196">
        <f>Tracking_SI[[#This Row],[Số  lượng trên ĐH]]-Tracking_SI[[#This Row],[Số  lượng giao]]</f>
        <v>-342</v>
      </c>
      <c r="J228" s="37"/>
      <c r="K228" s="357" t="s">
        <v>116</v>
      </c>
      <c r="L228" s="37"/>
      <c r="M228" s="323">
        <f>Tracking_SI[[#This Row],[Chênh lệch 
(thừa so với ĐH)]]/Tracking_SI[[#This Row],[Số  lượng trên ĐH]]</f>
        <v>-3.4200000000000001E-2</v>
      </c>
    </row>
    <row r="229" spans="1:20" ht="21" customHeight="1">
      <c r="A229" s="57"/>
      <c r="B229" s="57" t="s">
        <v>36</v>
      </c>
      <c r="C229" s="152"/>
      <c r="D229" s="108">
        <v>45884</v>
      </c>
      <c r="E229" s="30" t="s">
        <v>177</v>
      </c>
      <c r="F229" s="30"/>
      <c r="G229" s="30"/>
      <c r="H229" s="164">
        <v>2342</v>
      </c>
      <c r="I229" s="187"/>
      <c r="J229" s="37"/>
      <c r="K229" s="196" t="s">
        <v>118</v>
      </c>
      <c r="L229" s="37"/>
      <c r="M229" s="323" t="e">
        <f>Tracking_SI[[#This Row],[Chênh lệch 
(thừa so với ĐH)]]/Tracking_SI[[#This Row],[Số  lượng trên ĐH]]</f>
        <v>#DIV/0!</v>
      </c>
    </row>
    <row r="230" spans="1:20" ht="21" customHeight="1">
      <c r="A230" s="57"/>
      <c r="B230" s="57" t="s">
        <v>36</v>
      </c>
      <c r="C230" s="152"/>
      <c r="D230" s="116">
        <v>45892</v>
      </c>
      <c r="E230" s="30" t="s">
        <v>177</v>
      </c>
      <c r="F230" s="31"/>
      <c r="G230" s="30"/>
      <c r="H230" s="164">
        <v>4399</v>
      </c>
      <c r="I230" s="139"/>
      <c r="J230" s="37"/>
      <c r="K230" s="196" t="s">
        <v>118</v>
      </c>
      <c r="L230" s="37"/>
      <c r="M230" s="323" t="e">
        <f>Tracking_SI[[#This Row],[Chênh lệch 
(thừa so với ĐH)]]/Tracking_SI[[#This Row],[Số  lượng trên ĐH]]</f>
        <v>#DIV/0!</v>
      </c>
    </row>
    <row r="231" spans="1:20" ht="21" customHeight="1">
      <c r="A231" s="57"/>
      <c r="B231" s="57" t="s">
        <v>36</v>
      </c>
      <c r="C231" s="152"/>
      <c r="D231" s="116">
        <v>45915</v>
      </c>
      <c r="E231" s="30" t="s">
        <v>177</v>
      </c>
      <c r="F231" s="25"/>
      <c r="G231" s="31"/>
      <c r="H231" s="164">
        <v>3601</v>
      </c>
      <c r="I231" s="187"/>
      <c r="J231" s="37"/>
      <c r="K231" s="196" t="s">
        <v>118</v>
      </c>
      <c r="L231" s="37"/>
      <c r="M231" s="323" t="e">
        <f>Tracking_SI[[#This Row],[Chênh lệch 
(thừa so với ĐH)]]/Tracking_SI[[#This Row],[Số  lượng trên ĐH]]</f>
        <v>#DIV/0!</v>
      </c>
    </row>
    <row r="232" spans="1:20" ht="21" customHeight="1">
      <c r="A232" s="57"/>
      <c r="B232" s="57" t="s">
        <v>36</v>
      </c>
      <c r="C232" s="152"/>
      <c r="D232" s="300">
        <v>46041</v>
      </c>
      <c r="E232" s="301" t="s">
        <v>197</v>
      </c>
      <c r="F232" s="301"/>
      <c r="G232" s="302">
        <v>8000</v>
      </c>
      <c r="H232" s="315">
        <f>SUM(H233:H235)</f>
        <v>8000</v>
      </c>
      <c r="I232" s="316">
        <f>Tracking_SI[[#This Row],[Số  lượng trên ĐH]]-Tracking_SI[[#This Row],[Số  lượng giao]]</f>
        <v>0</v>
      </c>
      <c r="J232" s="358"/>
      <c r="K232" s="357" t="s">
        <v>116</v>
      </c>
      <c r="L232" s="37"/>
      <c r="M232" s="323">
        <f>Tracking_SI[[#This Row],[Chênh lệch 
(thừa so với ĐH)]]/Tracking_SI[[#This Row],[Số  lượng trên ĐH]]</f>
        <v>0</v>
      </c>
    </row>
    <row r="233" spans="1:20" ht="21" customHeight="1">
      <c r="A233" s="57"/>
      <c r="B233" s="57" t="s">
        <v>36</v>
      </c>
      <c r="C233" s="152"/>
      <c r="D233" s="116">
        <v>46049</v>
      </c>
      <c r="E233" s="30" t="s">
        <v>197</v>
      </c>
      <c r="F233" s="25"/>
      <c r="G233" s="31"/>
      <c r="H233" s="164">
        <v>1570</v>
      </c>
      <c r="I233" s="187"/>
      <c r="J233" s="37"/>
      <c r="K233" s="196" t="s">
        <v>118</v>
      </c>
      <c r="L233" s="37"/>
      <c r="M233" s="323" t="e">
        <f>Tracking_SI[[#This Row],[Chênh lệch 
(thừa so với ĐH)]]/Tracking_SI[[#This Row],[Số  lượng trên ĐH]]</f>
        <v>#DIV/0!</v>
      </c>
    </row>
    <row r="234" spans="1:20" ht="21" customHeight="1">
      <c r="A234" s="57"/>
      <c r="B234" s="57" t="s">
        <v>36</v>
      </c>
      <c r="C234" s="152"/>
      <c r="D234" s="116">
        <v>46057</v>
      </c>
      <c r="E234" s="30" t="s">
        <v>197</v>
      </c>
      <c r="F234" s="25"/>
      <c r="G234" s="31"/>
      <c r="H234" s="164">
        <v>1831</v>
      </c>
      <c r="I234" s="187"/>
      <c r="J234" s="37"/>
      <c r="K234" s="196" t="s">
        <v>118</v>
      </c>
      <c r="L234" s="37"/>
      <c r="M234" s="323" t="e">
        <f>Tracking_SI[[#This Row],[Chênh lệch 
(thừa so với ĐH)]]/Tracking_SI[[#This Row],[Số  lượng trên ĐH]]</f>
        <v>#DIV/0!</v>
      </c>
    </row>
    <row r="235" spans="1:20" ht="21" customHeight="1">
      <c r="A235" s="57"/>
      <c r="B235" s="57" t="s">
        <v>36</v>
      </c>
      <c r="C235" s="319"/>
      <c r="D235" s="108">
        <v>46090</v>
      </c>
      <c r="E235" s="30" t="s">
        <v>197</v>
      </c>
      <c r="F235" s="26"/>
      <c r="G235" s="30"/>
      <c r="H235" s="164">
        <f>5251-652</f>
        <v>4599</v>
      </c>
      <c r="I235" s="189"/>
      <c r="J235" s="37"/>
      <c r="K235" s="196" t="s">
        <v>118</v>
      </c>
      <c r="L235" s="26"/>
      <c r="M235" s="323" t="e">
        <f>Tracking_SI[[#This Row],[Chênh lệch 
(thừa so với ĐH)]]/Tracking_SI[[#This Row],[Số  lượng trên ĐH]]</f>
        <v>#DIV/0!</v>
      </c>
    </row>
    <row r="236" spans="1:20" ht="21" customHeight="1">
      <c r="A236" s="57" t="s">
        <v>115</v>
      </c>
      <c r="B236" s="57" t="s">
        <v>36</v>
      </c>
      <c r="C236" s="319"/>
      <c r="D236" s="300">
        <v>46077</v>
      </c>
      <c r="E236" s="342" t="s">
        <v>209</v>
      </c>
      <c r="F236" s="26"/>
      <c r="G236" s="343">
        <v>10000</v>
      </c>
      <c r="H236" s="343">
        <f>SUM(H237:H245)</f>
        <v>10102</v>
      </c>
      <c r="I236" s="340">
        <f>Tracking_SI[[#This Row],[Số  lượng trên ĐH]]-Tracking_SI[[#This Row],[Số  lượng giao]]</f>
        <v>-102</v>
      </c>
      <c r="J236" s="37"/>
      <c r="K236" s="373"/>
      <c r="L236" s="26"/>
      <c r="M236" s="323">
        <f>Tracking_SI[[#This Row],[Chênh lệch 
(thừa so với ĐH)]]/Tracking_SI[[#This Row],[Số  lượng trên ĐH]]</f>
        <v>-1.0200000000000001E-2</v>
      </c>
    </row>
    <row r="237" spans="1:20" ht="21" customHeight="1">
      <c r="A237" s="57"/>
      <c r="B237" s="57" t="s">
        <v>36</v>
      </c>
      <c r="C237" s="319"/>
      <c r="D237" s="108">
        <v>46090</v>
      </c>
      <c r="E237" s="30" t="s">
        <v>209</v>
      </c>
      <c r="F237" s="30"/>
      <c r="G237" s="164"/>
      <c r="H237" s="164">
        <v>652</v>
      </c>
      <c r="I237" s="340"/>
      <c r="J237" s="37"/>
      <c r="K237" s="373"/>
      <c r="L237" s="26"/>
      <c r="M237" s="323" t="e">
        <f>Tracking_SI[[#This Row],[Chênh lệch 
(thừa so với ĐH)]]/Tracking_SI[[#This Row],[Số  lượng trên ĐH]]</f>
        <v>#DIV/0!</v>
      </c>
    </row>
    <row r="238" spans="1:20" ht="21" customHeight="1">
      <c r="A238" s="57"/>
      <c r="B238" s="57" t="s">
        <v>36</v>
      </c>
      <c r="C238" s="319"/>
      <c r="D238" s="108">
        <v>46093</v>
      </c>
      <c r="E238" s="30" t="s">
        <v>209</v>
      </c>
      <c r="F238" s="30"/>
      <c r="G238" s="26"/>
      <c r="H238" s="164">
        <v>1841</v>
      </c>
      <c r="I238" s="340"/>
      <c r="J238" s="37"/>
      <c r="K238" s="373"/>
      <c r="L238" s="26"/>
      <c r="M238" s="323" t="e">
        <f>Tracking_SI[[#This Row],[Chênh lệch 
(thừa so với ĐH)]]/Tracking_SI[[#This Row],[Số  lượng trên ĐH]]</f>
        <v>#DIV/0!</v>
      </c>
    </row>
    <row r="239" spans="1:20" ht="21" customHeight="1">
      <c r="A239" s="57"/>
      <c r="B239" s="57" t="s">
        <v>36</v>
      </c>
      <c r="C239" s="319"/>
      <c r="D239" s="108">
        <v>46104</v>
      </c>
      <c r="E239" s="27" t="s">
        <v>209</v>
      </c>
      <c r="F239" s="30"/>
      <c r="G239" s="26"/>
      <c r="H239" s="164">
        <v>2612</v>
      </c>
      <c r="I239" s="340"/>
      <c r="J239" s="37"/>
      <c r="K239" s="373"/>
      <c r="L239" s="26"/>
      <c r="M239" s="323" t="e">
        <f>Tracking_SI[[#This Row],[Chênh lệch 
(thừa so với ĐH)]]/Tracking_SI[[#This Row],[Số  lượng trên ĐH]]</f>
        <v>#DIV/0!</v>
      </c>
    </row>
    <row r="240" spans="1:20" ht="21" customHeight="1">
      <c r="A240" s="57"/>
      <c r="B240" s="57" t="s">
        <v>36</v>
      </c>
      <c r="C240" s="319"/>
      <c r="D240" s="108">
        <v>46107</v>
      </c>
      <c r="E240" s="27" t="s">
        <v>209</v>
      </c>
      <c r="F240" s="30"/>
      <c r="G240" s="26"/>
      <c r="H240" s="164">
        <v>1050</v>
      </c>
      <c r="I240" s="340"/>
      <c r="J240" s="37"/>
      <c r="K240" s="373"/>
      <c r="L240" s="26"/>
      <c r="M240" s="323" t="e">
        <f>Tracking_SI[[#This Row],[Chênh lệch 
(thừa so với ĐH)]]/Tracking_SI[[#This Row],[Số  lượng trên ĐH]]</f>
        <v>#DIV/0!</v>
      </c>
    </row>
    <row r="241" spans="1:13" ht="21" customHeight="1">
      <c r="A241" s="57"/>
      <c r="B241" s="57" t="s">
        <v>36</v>
      </c>
      <c r="C241" s="319"/>
      <c r="D241" s="108">
        <v>46113</v>
      </c>
      <c r="E241" s="30" t="s">
        <v>209</v>
      </c>
      <c r="F241" s="30"/>
      <c r="G241" s="26"/>
      <c r="H241" s="164">
        <v>1313</v>
      </c>
      <c r="I241" s="185"/>
      <c r="J241" s="37"/>
      <c r="K241" s="185"/>
      <c r="L241" s="26"/>
      <c r="M241" s="323" t="e">
        <f>Tracking_SI[[#This Row],[Chênh lệch 
(thừa so với ĐH)]]/Tracking_SI[[#This Row],[Số  lượng trên ĐH]]</f>
        <v>#DIV/0!</v>
      </c>
    </row>
    <row r="242" spans="1:13" ht="21" customHeight="1">
      <c r="A242" s="57"/>
      <c r="B242" s="57" t="s">
        <v>36</v>
      </c>
      <c r="C242" s="319"/>
      <c r="D242" s="108">
        <v>46118</v>
      </c>
      <c r="E242" s="30" t="s">
        <v>209</v>
      </c>
      <c r="F242" s="30"/>
      <c r="G242" s="164"/>
      <c r="H242" s="189">
        <v>1058</v>
      </c>
      <c r="I242" s="139"/>
      <c r="J242" s="26"/>
      <c r="K242" s="185"/>
      <c r="L242" s="26"/>
      <c r="M242" s="323" t="e">
        <f>Tracking_SI[[#This Row],[Chênh lệch 
(thừa so với ĐH)]]/Tracking_SI[[#This Row],[Số  lượng trên ĐH]]</f>
        <v>#DIV/0!</v>
      </c>
    </row>
    <row r="243" spans="1:13" ht="21" customHeight="1">
      <c r="A243" s="57" t="s">
        <v>118</v>
      </c>
      <c r="B243" s="57" t="s">
        <v>36</v>
      </c>
      <c r="C243" s="319"/>
      <c r="D243" s="108">
        <v>46126</v>
      </c>
      <c r="E243" s="30" t="s">
        <v>209</v>
      </c>
      <c r="F243" s="30"/>
      <c r="G243" s="26"/>
      <c r="H243" s="189">
        <v>1576</v>
      </c>
      <c r="I243" s="185"/>
      <c r="J243" s="37"/>
      <c r="K243" s="185"/>
      <c r="L243" s="26"/>
      <c r="M243" s="323" t="e">
        <f>Tracking_SI[[#This Row],[Chênh lệch 
(thừa so với ĐH)]]/Tracking_SI[[#This Row],[Số  lượng trên ĐH]]</f>
        <v>#DIV/0!</v>
      </c>
    </row>
    <row r="244" spans="1:13" ht="21" customHeight="1">
      <c r="A244" s="57"/>
      <c r="B244" s="57" t="s">
        <v>36</v>
      </c>
      <c r="C244" s="319"/>
      <c r="D244" s="108"/>
      <c r="E244" s="30" t="s">
        <v>209</v>
      </c>
      <c r="F244" s="30"/>
      <c r="G244" s="26"/>
      <c r="H244" s="189"/>
      <c r="I244" s="185"/>
      <c r="J244" s="37"/>
      <c r="K244" s="185"/>
      <c r="L244" s="26"/>
      <c r="M244" s="323" t="e">
        <f>Tracking_SI[[#This Row],[Chênh lệch 
(thừa so với ĐH)]]/Tracking_SI[[#This Row],[Số  lượng trên ĐH]]</f>
        <v>#DIV/0!</v>
      </c>
    </row>
    <row r="245" spans="1:13" ht="21" customHeight="1">
      <c r="A245" s="57"/>
      <c r="B245" s="57" t="s">
        <v>36</v>
      </c>
      <c r="C245" s="319"/>
      <c r="D245" s="108"/>
      <c r="E245" s="30" t="s">
        <v>209</v>
      </c>
      <c r="F245" s="26"/>
      <c r="G245" s="30"/>
      <c r="H245" s="164"/>
      <c r="I245" s="189"/>
      <c r="J245" s="37"/>
      <c r="K245" s="139"/>
      <c r="L245" s="26"/>
      <c r="M245" s="323" t="e">
        <f>Tracking_SI[[#This Row],[Chênh lệch 
(thừa so với ĐH)]]/Tracking_SI[[#This Row],[Số  lượng trên ĐH]]</f>
        <v>#DIV/0!</v>
      </c>
    </row>
    <row r="246" spans="1:13" ht="21" customHeight="1">
      <c r="A246" s="58" t="s">
        <v>106</v>
      </c>
      <c r="B246" s="73" t="s">
        <v>165</v>
      </c>
      <c r="C246" s="74" t="s">
        <v>167</v>
      </c>
      <c r="D246" s="117"/>
      <c r="E246" s="75"/>
      <c r="F246" s="75"/>
      <c r="G246" s="76"/>
      <c r="H246" s="220"/>
      <c r="I246" s="204"/>
      <c r="J246" s="77"/>
      <c r="K246" s="136"/>
      <c r="L246" s="77"/>
      <c r="M246" s="323" t="e">
        <f>Tracking_SI[[#This Row],[Chênh lệch 
(thừa so với ĐH)]]/Tracking_SI[[#This Row],[Số  lượng trên ĐH]]</f>
        <v>#DIV/0!</v>
      </c>
    </row>
    <row r="247" spans="1:13" ht="21" customHeight="1">
      <c r="A247" s="58" t="s">
        <v>115</v>
      </c>
      <c r="B247" s="57" t="s">
        <v>165</v>
      </c>
      <c r="C247" s="46"/>
      <c r="D247" s="183">
        <v>45659</v>
      </c>
      <c r="E247" s="194" t="s">
        <v>39</v>
      </c>
      <c r="F247" s="28" t="s">
        <v>8</v>
      </c>
      <c r="G247" s="149">
        <v>15000</v>
      </c>
      <c r="H247" s="176">
        <f>SUM(H248:H257)</f>
        <v>15015</v>
      </c>
      <c r="I247" s="199">
        <f>G247-H247</f>
        <v>-15</v>
      </c>
      <c r="J247" s="149">
        <v>36100</v>
      </c>
      <c r="K247" s="195" t="s">
        <v>116</v>
      </c>
      <c r="L247" s="24"/>
      <c r="M247" s="323">
        <f>Tracking_SI[[#This Row],[Chênh lệch 
(thừa so với ĐH)]]/Tracking_SI[[#This Row],[Số  lượng trên ĐH]]</f>
        <v>-1E-3</v>
      </c>
    </row>
    <row r="248" spans="1:13" ht="21" customHeight="1">
      <c r="A248" s="57"/>
      <c r="B248" s="57" t="s">
        <v>165</v>
      </c>
      <c r="C248" s="46"/>
      <c r="D248" s="116">
        <v>45664</v>
      </c>
      <c r="F248" s="30"/>
      <c r="G248" s="31"/>
      <c r="H248" s="176">
        <v>1565</v>
      </c>
      <c r="I248" s="187"/>
      <c r="J248" s="32"/>
      <c r="K248" s="127" t="s">
        <v>118</v>
      </c>
      <c r="L248" s="32"/>
      <c r="M248" s="323" t="e">
        <f>Tracking_SI[[#This Row],[Chênh lệch 
(thừa so với ĐH)]]/Tracking_SI[[#This Row],[Số  lượng trên ĐH]]</f>
        <v>#DIV/0!</v>
      </c>
    </row>
    <row r="249" spans="1:13" ht="21" customHeight="1">
      <c r="A249" s="57"/>
      <c r="B249" s="57" t="s">
        <v>165</v>
      </c>
      <c r="C249" s="46"/>
      <c r="D249" s="116">
        <v>45666</v>
      </c>
      <c r="F249" s="30"/>
      <c r="G249" s="31"/>
      <c r="H249" s="176">
        <v>1253</v>
      </c>
      <c r="I249" s="187"/>
      <c r="J249" s="32"/>
      <c r="K249" s="127" t="s">
        <v>118</v>
      </c>
      <c r="L249" s="32"/>
      <c r="M249" s="323" t="e">
        <f>Tracking_SI[[#This Row],[Chênh lệch 
(thừa so với ĐH)]]/Tracking_SI[[#This Row],[Số  lượng trên ĐH]]</f>
        <v>#DIV/0!</v>
      </c>
    </row>
    <row r="250" spans="1:13" ht="21" customHeight="1">
      <c r="A250" s="57"/>
      <c r="B250" s="57" t="s">
        <v>165</v>
      </c>
      <c r="C250" s="46"/>
      <c r="D250" s="116">
        <v>45679</v>
      </c>
      <c r="F250" s="30"/>
      <c r="G250" s="31"/>
      <c r="H250" s="176">
        <v>3105</v>
      </c>
      <c r="I250" s="187"/>
      <c r="J250" s="32"/>
      <c r="K250" s="127" t="s">
        <v>118</v>
      </c>
      <c r="L250" s="32"/>
      <c r="M250" s="323" t="e">
        <f>Tracking_SI[[#This Row],[Chênh lệch 
(thừa so với ĐH)]]/Tracking_SI[[#This Row],[Số  lượng trên ĐH]]</f>
        <v>#DIV/0!</v>
      </c>
    </row>
    <row r="251" spans="1:13" ht="21" customHeight="1">
      <c r="A251" s="57"/>
      <c r="B251" s="57" t="s">
        <v>165</v>
      </c>
      <c r="C251" s="46"/>
      <c r="D251" s="116">
        <v>45693</v>
      </c>
      <c r="F251" s="30"/>
      <c r="G251" s="31"/>
      <c r="H251" s="176">
        <v>4999</v>
      </c>
      <c r="I251" s="189"/>
      <c r="J251" s="32"/>
      <c r="K251" s="127" t="s">
        <v>118</v>
      </c>
      <c r="L251" s="32"/>
      <c r="M251" s="323" t="e">
        <f>Tracking_SI[[#This Row],[Chênh lệch 
(thừa so với ĐH)]]/Tracking_SI[[#This Row],[Số  lượng trên ĐH]]</f>
        <v>#DIV/0!</v>
      </c>
    </row>
    <row r="252" spans="1:13" ht="21" customHeight="1">
      <c r="A252" s="57"/>
      <c r="B252" s="57" t="s">
        <v>165</v>
      </c>
      <c r="C252" s="46"/>
      <c r="D252" s="116">
        <v>45698</v>
      </c>
      <c r="F252" s="30"/>
      <c r="G252" s="31"/>
      <c r="H252" s="176">
        <v>631</v>
      </c>
      <c r="I252" s="186"/>
      <c r="J252" s="32"/>
      <c r="K252" s="127" t="s">
        <v>118</v>
      </c>
      <c r="L252" s="32"/>
      <c r="M252" s="323" t="e">
        <f>Tracking_SI[[#This Row],[Chênh lệch 
(thừa so với ĐH)]]/Tracking_SI[[#This Row],[Số  lượng trên ĐH]]</f>
        <v>#DIV/0!</v>
      </c>
    </row>
    <row r="253" spans="1:13" ht="21" customHeight="1">
      <c r="A253" s="57"/>
      <c r="B253" s="57" t="s">
        <v>165</v>
      </c>
      <c r="C253" s="46"/>
      <c r="D253" s="116">
        <v>45699</v>
      </c>
      <c r="F253" s="30"/>
      <c r="G253" s="31"/>
      <c r="H253" s="176">
        <v>944</v>
      </c>
      <c r="I253" s="186"/>
      <c r="J253" s="32"/>
      <c r="K253" s="127" t="s">
        <v>118</v>
      </c>
      <c r="L253" s="32"/>
      <c r="M253" s="323" t="e">
        <f>Tracking_SI[[#This Row],[Chênh lệch 
(thừa so với ĐH)]]/Tracking_SI[[#This Row],[Số  lượng trên ĐH]]</f>
        <v>#DIV/0!</v>
      </c>
    </row>
    <row r="254" spans="1:13" ht="21" customHeight="1">
      <c r="A254" s="57"/>
      <c r="B254" s="57" t="s">
        <v>165</v>
      </c>
      <c r="C254" s="46"/>
      <c r="D254" s="116">
        <v>45701</v>
      </c>
      <c r="F254" s="30"/>
      <c r="G254" s="31"/>
      <c r="H254" s="176">
        <v>631</v>
      </c>
      <c r="I254" s="189"/>
      <c r="J254" s="32"/>
      <c r="K254" s="127" t="s">
        <v>118</v>
      </c>
      <c r="L254" s="32"/>
      <c r="M254" s="323" t="e">
        <f>Tracking_SI[[#This Row],[Chênh lệch 
(thừa so với ĐH)]]/Tracking_SI[[#This Row],[Số  lượng trên ĐH]]</f>
        <v>#DIV/0!</v>
      </c>
    </row>
    <row r="255" spans="1:13" ht="21" customHeight="1">
      <c r="A255" s="57"/>
      <c r="B255" s="57" t="s">
        <v>165</v>
      </c>
      <c r="C255" s="46"/>
      <c r="D255" s="116">
        <v>45703</v>
      </c>
      <c r="F255" s="30"/>
      <c r="G255" s="31"/>
      <c r="H255" s="176">
        <v>633</v>
      </c>
      <c r="I255" s="189"/>
      <c r="J255" s="32"/>
      <c r="K255" s="127" t="s">
        <v>118</v>
      </c>
      <c r="L255" s="32"/>
      <c r="M255" s="323" t="e">
        <f>Tracking_SI[[#This Row],[Chênh lệch 
(thừa so với ĐH)]]/Tracking_SI[[#This Row],[Số  lượng trên ĐH]]</f>
        <v>#DIV/0!</v>
      </c>
    </row>
    <row r="256" spans="1:13" ht="21" customHeight="1">
      <c r="A256" s="57"/>
      <c r="B256" s="57" t="s">
        <v>165</v>
      </c>
      <c r="C256" s="46"/>
      <c r="D256" s="116">
        <v>45706</v>
      </c>
      <c r="F256" s="30"/>
      <c r="G256" s="31"/>
      <c r="H256" s="176">
        <v>314</v>
      </c>
      <c r="I256" s="189"/>
      <c r="J256" s="32"/>
      <c r="K256" s="127" t="s">
        <v>118</v>
      </c>
      <c r="L256" s="32"/>
      <c r="M256" s="323" t="e">
        <f>Tracking_SI[[#This Row],[Chênh lệch 
(thừa so với ĐH)]]/Tracking_SI[[#This Row],[Số  lượng trên ĐH]]</f>
        <v>#DIV/0!</v>
      </c>
    </row>
    <row r="257" spans="1:23" ht="21" customHeight="1">
      <c r="A257" s="57"/>
      <c r="B257" s="57" t="s">
        <v>165</v>
      </c>
      <c r="C257" s="46"/>
      <c r="D257" s="116">
        <v>45708</v>
      </c>
      <c r="F257" s="30"/>
      <c r="G257" s="31"/>
      <c r="H257" s="176">
        <v>940</v>
      </c>
      <c r="I257" s="189"/>
      <c r="J257" s="32"/>
      <c r="K257" s="127" t="s">
        <v>118</v>
      </c>
      <c r="L257" s="32"/>
      <c r="M257" s="323" t="e">
        <f>Tracking_SI[[#This Row],[Chênh lệch 
(thừa so với ĐH)]]/Tracking_SI[[#This Row],[Số  lượng trên ĐH]]</f>
        <v>#DIV/0!</v>
      </c>
    </row>
    <row r="258" spans="1:23" ht="21" customHeight="1">
      <c r="A258" s="58" t="s">
        <v>115</v>
      </c>
      <c r="B258" s="57" t="s">
        <v>165</v>
      </c>
      <c r="C258" s="46"/>
      <c r="D258" s="111">
        <v>45692</v>
      </c>
      <c r="E258" s="25" t="s">
        <v>40</v>
      </c>
      <c r="F258" s="25" t="s">
        <v>8</v>
      </c>
      <c r="G258" s="24">
        <v>16000</v>
      </c>
      <c r="H258" s="176">
        <f>SUM(H259:H264)</f>
        <v>16000</v>
      </c>
      <c r="I258" s="187">
        <f>G258-H258</f>
        <v>0</v>
      </c>
      <c r="J258" s="24">
        <v>36100</v>
      </c>
      <c r="K258" s="127" t="s">
        <v>116</v>
      </c>
      <c r="L258" s="24"/>
      <c r="M258" s="323">
        <f>Tracking_SI[[#This Row],[Chênh lệch 
(thừa so với ĐH)]]/Tracking_SI[[#This Row],[Số  lượng trên ĐH]]</f>
        <v>0</v>
      </c>
    </row>
    <row r="259" spans="1:23" ht="21" customHeight="1">
      <c r="A259" s="57"/>
      <c r="B259" s="57" t="s">
        <v>165</v>
      </c>
      <c r="C259" s="46"/>
      <c r="D259" s="116">
        <v>45713</v>
      </c>
      <c r="F259" s="30"/>
      <c r="G259" s="31"/>
      <c r="H259" s="176">
        <v>1562</v>
      </c>
      <c r="I259" s="187"/>
      <c r="J259" s="32"/>
      <c r="K259" s="127" t="s">
        <v>118</v>
      </c>
      <c r="L259" s="32"/>
      <c r="M259" s="323" t="e">
        <f>Tracking_SI[[#This Row],[Chênh lệch 
(thừa so với ĐH)]]/Tracking_SI[[#This Row],[Số  lượng trên ĐH]]</f>
        <v>#DIV/0!</v>
      </c>
    </row>
    <row r="260" spans="1:23" ht="21" customHeight="1">
      <c r="A260" s="57"/>
      <c r="B260" s="57" t="s">
        <v>165</v>
      </c>
      <c r="C260" s="46"/>
      <c r="D260" s="116">
        <v>45716</v>
      </c>
      <c r="F260" s="30"/>
      <c r="G260" s="31"/>
      <c r="H260" s="176">
        <v>2838</v>
      </c>
      <c r="I260" s="187"/>
      <c r="J260" s="32"/>
      <c r="K260" s="127" t="s">
        <v>118</v>
      </c>
      <c r="L260" s="32"/>
      <c r="M260" s="323" t="e">
        <f>Tracking_SI[[#This Row],[Chênh lệch 
(thừa so với ĐH)]]/Tracking_SI[[#This Row],[Số  lượng trên ĐH]]</f>
        <v>#DIV/0!</v>
      </c>
    </row>
    <row r="261" spans="1:23" ht="21" customHeight="1">
      <c r="A261" s="57"/>
      <c r="B261" s="57" t="s">
        <v>165</v>
      </c>
      <c r="C261" s="46"/>
      <c r="D261" s="116">
        <v>45719</v>
      </c>
      <c r="F261" s="30"/>
      <c r="G261" s="31"/>
      <c r="H261" s="176">
        <v>947</v>
      </c>
      <c r="I261" s="189"/>
      <c r="J261" s="32"/>
      <c r="K261" s="127" t="s">
        <v>118</v>
      </c>
      <c r="L261" s="32"/>
      <c r="M261" s="323" t="e">
        <f>Tracking_SI[[#This Row],[Chênh lệch 
(thừa so với ĐH)]]/Tracking_SI[[#This Row],[Số  lượng trên ĐH]]</f>
        <v>#DIV/0!</v>
      </c>
    </row>
    <row r="262" spans="1:23" ht="21" customHeight="1">
      <c r="A262" s="57"/>
      <c r="B262" s="57" t="s">
        <v>165</v>
      </c>
      <c r="C262" s="46"/>
      <c r="D262" s="116">
        <v>45726</v>
      </c>
      <c r="F262" s="30"/>
      <c r="G262" s="31"/>
      <c r="H262" s="176">
        <v>4382</v>
      </c>
      <c r="I262" s="186"/>
      <c r="J262" s="32"/>
      <c r="K262" s="127" t="s">
        <v>118</v>
      </c>
      <c r="L262" s="32"/>
      <c r="M262" s="323" t="e">
        <f>Tracking_SI[[#This Row],[Chênh lệch 
(thừa so với ĐH)]]/Tracking_SI[[#This Row],[Số  lượng trên ĐH]]</f>
        <v>#DIV/0!</v>
      </c>
      <c r="V262" s="8"/>
      <c r="W262" s="11"/>
    </row>
    <row r="263" spans="1:23" ht="21" customHeight="1">
      <c r="A263" s="57"/>
      <c r="B263" s="57" t="s">
        <v>165</v>
      </c>
      <c r="C263" s="46"/>
      <c r="D263" s="116">
        <v>45729</v>
      </c>
      <c r="F263" s="30"/>
      <c r="G263" s="31"/>
      <c r="H263" s="176">
        <v>3442</v>
      </c>
      <c r="I263" s="186"/>
      <c r="J263" s="32"/>
      <c r="K263" s="127" t="s">
        <v>118</v>
      </c>
      <c r="L263" s="32"/>
      <c r="M263" s="323" t="e">
        <f>Tracking_SI[[#This Row],[Chênh lệch 
(thừa so với ĐH)]]/Tracking_SI[[#This Row],[Số  lượng trên ĐH]]</f>
        <v>#DIV/0!</v>
      </c>
      <c r="V263" s="4"/>
    </row>
    <row r="264" spans="1:23" ht="21" customHeight="1">
      <c r="A264" s="57"/>
      <c r="B264" s="57" t="s">
        <v>165</v>
      </c>
      <c r="C264" s="46"/>
      <c r="D264" s="116">
        <v>45735</v>
      </c>
      <c r="F264" s="30"/>
      <c r="G264" s="31"/>
      <c r="H264" s="176">
        <v>2829</v>
      </c>
      <c r="I264" s="189"/>
      <c r="J264" s="32"/>
      <c r="K264" s="127" t="s">
        <v>118</v>
      </c>
      <c r="L264" s="32"/>
      <c r="M264" s="323" t="e">
        <f>Tracking_SI[[#This Row],[Chênh lệch 
(thừa so với ĐH)]]/Tracking_SI[[#This Row],[Số  lượng trên ĐH]]</f>
        <v>#DIV/0!</v>
      </c>
      <c r="V264" s="4"/>
    </row>
    <row r="265" spans="1:23" ht="21" customHeight="1">
      <c r="A265" s="58" t="s">
        <v>115</v>
      </c>
      <c r="B265" s="57" t="s">
        <v>165</v>
      </c>
      <c r="C265" s="46"/>
      <c r="D265" s="111">
        <v>45716</v>
      </c>
      <c r="E265" s="25" t="s">
        <v>41</v>
      </c>
      <c r="F265" s="25" t="s">
        <v>8</v>
      </c>
      <c r="G265" s="24">
        <v>15000</v>
      </c>
      <c r="H265" s="176">
        <f>SUM(H266:H271)</f>
        <v>15000</v>
      </c>
      <c r="I265" s="189">
        <f>G265-H265</f>
        <v>0</v>
      </c>
      <c r="J265" s="24">
        <v>36100</v>
      </c>
      <c r="K265" s="127" t="s">
        <v>116</v>
      </c>
      <c r="L265" s="24"/>
      <c r="M265" s="323">
        <f>Tracking_SI[[#This Row],[Chênh lệch 
(thừa so với ĐH)]]/Tracking_SI[[#This Row],[Số  lượng trên ĐH]]</f>
        <v>0</v>
      </c>
      <c r="V265" s="4"/>
    </row>
    <row r="266" spans="1:23" ht="21" customHeight="1">
      <c r="A266" s="57"/>
      <c r="B266" s="57" t="s">
        <v>165</v>
      </c>
      <c r="C266" s="46"/>
      <c r="D266" s="116">
        <v>45735</v>
      </c>
      <c r="F266" s="30"/>
      <c r="G266" s="31"/>
      <c r="H266" s="176">
        <f>3753-H264</f>
        <v>924</v>
      </c>
      <c r="I266" s="189"/>
      <c r="J266" s="32"/>
      <c r="K266" s="127" t="s">
        <v>118</v>
      </c>
      <c r="L266" s="32"/>
      <c r="M266" s="323" t="e">
        <f>Tracking_SI[[#This Row],[Chênh lệch 
(thừa so với ĐH)]]/Tracking_SI[[#This Row],[Số  lượng trên ĐH]]</f>
        <v>#DIV/0!</v>
      </c>
      <c r="V266" s="12"/>
      <c r="W266" s="13"/>
    </row>
    <row r="267" spans="1:23" ht="21" customHeight="1">
      <c r="A267" s="57"/>
      <c r="B267" s="57" t="s">
        <v>165</v>
      </c>
      <c r="C267" s="46"/>
      <c r="D267" s="116">
        <v>45757</v>
      </c>
      <c r="F267" s="30"/>
      <c r="G267" s="31"/>
      <c r="H267" s="176">
        <v>3455</v>
      </c>
      <c r="I267" s="189"/>
      <c r="J267" s="32"/>
      <c r="K267" s="127" t="s">
        <v>118</v>
      </c>
      <c r="L267" s="32"/>
      <c r="M267" s="323" t="e">
        <f>Tracking_SI[[#This Row],[Chênh lệch 
(thừa so với ĐH)]]/Tracking_SI[[#This Row],[Số  lượng trên ĐH]]</f>
        <v>#DIV/0!</v>
      </c>
      <c r="V267" s="12"/>
    </row>
    <row r="268" spans="1:23" ht="21" customHeight="1">
      <c r="A268" s="57"/>
      <c r="B268" s="57" t="s">
        <v>165</v>
      </c>
      <c r="C268" s="46"/>
      <c r="D268" s="116">
        <v>45759</v>
      </c>
      <c r="F268" s="30"/>
      <c r="G268" s="31"/>
      <c r="H268" s="176">
        <v>2190</v>
      </c>
      <c r="I268" s="187"/>
      <c r="J268" s="32"/>
      <c r="K268" s="127" t="s">
        <v>118</v>
      </c>
      <c r="L268" s="32"/>
      <c r="M268" s="323" t="e">
        <f>Tracking_SI[[#This Row],[Chênh lệch 
(thừa so với ĐH)]]/Tracking_SI[[#This Row],[Số  lượng trên ĐH]]</f>
        <v>#DIV/0!</v>
      </c>
    </row>
    <row r="269" spans="1:23" ht="21" customHeight="1">
      <c r="A269" s="57"/>
      <c r="B269" s="57" t="s">
        <v>165</v>
      </c>
      <c r="C269" s="46"/>
      <c r="D269" s="116">
        <v>45764</v>
      </c>
      <c r="F269" s="30"/>
      <c r="G269" s="31"/>
      <c r="H269" s="176">
        <v>3107</v>
      </c>
      <c r="I269" s="187"/>
      <c r="J269" s="32"/>
      <c r="K269" s="127" t="s">
        <v>118</v>
      </c>
      <c r="L269" s="32"/>
      <c r="M269" s="323" t="e">
        <f>Tracking_SI[[#This Row],[Chênh lệch 
(thừa so với ĐH)]]/Tracking_SI[[#This Row],[Số  lượng trên ĐH]]</f>
        <v>#DIV/0!</v>
      </c>
    </row>
    <row r="270" spans="1:23" ht="21" customHeight="1">
      <c r="A270" s="57"/>
      <c r="B270" s="57" t="s">
        <v>165</v>
      </c>
      <c r="C270" s="46"/>
      <c r="D270" s="116">
        <v>45769</v>
      </c>
      <c r="F270" s="30"/>
      <c r="G270" s="31"/>
      <c r="H270" s="176">
        <v>4046</v>
      </c>
      <c r="I270" s="187"/>
      <c r="J270" s="32"/>
      <c r="K270" s="127" t="s">
        <v>118</v>
      </c>
      <c r="L270" s="32"/>
      <c r="M270" s="323" t="e">
        <f>Tracking_SI[[#This Row],[Chênh lệch 
(thừa so với ĐH)]]/Tracking_SI[[#This Row],[Số  lượng trên ĐH]]</f>
        <v>#DIV/0!</v>
      </c>
    </row>
    <row r="271" spans="1:23" ht="21" customHeight="1">
      <c r="A271" s="57"/>
      <c r="B271" s="57" t="s">
        <v>165</v>
      </c>
      <c r="C271" s="46"/>
      <c r="D271" s="116">
        <v>45769</v>
      </c>
      <c r="F271" s="30"/>
      <c r="G271" s="31"/>
      <c r="H271" s="176">
        <v>1278</v>
      </c>
      <c r="I271" s="189"/>
      <c r="J271" s="32"/>
      <c r="K271" s="127" t="s">
        <v>118</v>
      </c>
      <c r="L271" s="32"/>
      <c r="M271" s="323" t="e">
        <f>Tracking_SI[[#This Row],[Chênh lệch 
(thừa so với ĐH)]]/Tracking_SI[[#This Row],[Số  lượng trên ĐH]]</f>
        <v>#DIV/0!</v>
      </c>
    </row>
    <row r="272" spans="1:23" ht="21" customHeight="1">
      <c r="A272" s="57" t="s">
        <v>115</v>
      </c>
      <c r="B272" s="57" t="s">
        <v>165</v>
      </c>
      <c r="C272" s="46"/>
      <c r="D272" s="300">
        <v>45734</v>
      </c>
      <c r="E272" s="301" t="s">
        <v>158</v>
      </c>
      <c r="F272" s="155" t="s">
        <v>8</v>
      </c>
      <c r="G272" s="302">
        <v>18000</v>
      </c>
      <c r="H272" s="302">
        <f>SUM(H273:H276)</f>
        <v>3469</v>
      </c>
      <c r="I272" s="304">
        <f>Tracking_SI[[#This Row],[Số  lượng trên ĐH]]-Tracking_SI[[#This Row],[Số  lượng giao]]</f>
        <v>14531</v>
      </c>
      <c r="J272" s="161">
        <v>36100</v>
      </c>
      <c r="K272" s="130"/>
      <c r="L272" s="24"/>
      <c r="M272" s="323">
        <f>Tracking_SI[[#This Row],[Chênh lệch 
(thừa so với ĐH)]]/Tracking_SI[[#This Row],[Số  lượng trên ĐH]]</f>
        <v>0.80727777777777776</v>
      </c>
    </row>
    <row r="273" spans="1:13" ht="21" customHeight="1">
      <c r="A273" s="57"/>
      <c r="B273" s="57" t="s">
        <v>165</v>
      </c>
      <c r="C273" s="46"/>
      <c r="D273" s="116">
        <v>45769</v>
      </c>
      <c r="E273" s="30" t="s">
        <v>158</v>
      </c>
      <c r="F273" s="30"/>
      <c r="G273" s="31"/>
      <c r="H273" s="164">
        <v>3095</v>
      </c>
      <c r="I273" s="186"/>
      <c r="J273" s="32"/>
      <c r="K273" s="133"/>
      <c r="L273" s="32"/>
      <c r="M273" s="323" t="e">
        <f>Tracking_SI[[#This Row],[Chênh lệch 
(thừa so với ĐH)]]/Tracking_SI[[#This Row],[Số  lượng trên ĐH]]</f>
        <v>#DIV/0!</v>
      </c>
    </row>
    <row r="274" spans="1:13" ht="21" customHeight="1">
      <c r="A274" s="57"/>
      <c r="B274" s="57" t="s">
        <v>165</v>
      </c>
      <c r="C274" s="46"/>
      <c r="D274" s="116">
        <v>45861</v>
      </c>
      <c r="E274" s="30" t="s">
        <v>158</v>
      </c>
      <c r="F274" s="30"/>
      <c r="G274" s="31"/>
      <c r="H274" s="164">
        <v>374</v>
      </c>
      <c r="I274" s="189"/>
      <c r="J274" s="32"/>
      <c r="K274" s="133"/>
      <c r="L274" s="32"/>
      <c r="M274" s="323" t="e">
        <f>Tracking_SI[[#This Row],[Chênh lệch 
(thừa so với ĐH)]]/Tracking_SI[[#This Row],[Số  lượng trên ĐH]]</f>
        <v>#DIV/0!</v>
      </c>
    </row>
    <row r="275" spans="1:13" ht="21" customHeight="1">
      <c r="A275" s="57"/>
      <c r="B275" s="57" t="s">
        <v>165</v>
      </c>
      <c r="C275" s="46"/>
      <c r="D275" s="116"/>
      <c r="E275" s="30" t="s">
        <v>158</v>
      </c>
      <c r="F275" s="30"/>
      <c r="G275" s="31"/>
      <c r="H275" s="164"/>
      <c r="I275" s="189"/>
      <c r="J275" s="32"/>
      <c r="K275" s="133"/>
      <c r="L275" s="32"/>
      <c r="M275" s="323" t="e">
        <f>Tracking_SI[[#This Row],[Chênh lệch 
(thừa so với ĐH)]]/Tracking_SI[[#This Row],[Số  lượng trên ĐH]]</f>
        <v>#DIV/0!</v>
      </c>
    </row>
    <row r="276" spans="1:13" ht="21" customHeight="1">
      <c r="A276" s="57"/>
      <c r="B276" s="57" t="s">
        <v>165</v>
      </c>
      <c r="C276" s="46"/>
      <c r="D276" s="116"/>
      <c r="E276" s="30" t="s">
        <v>158</v>
      </c>
      <c r="F276" s="30"/>
      <c r="G276" s="31"/>
      <c r="H276" s="164"/>
      <c r="I276" s="189"/>
      <c r="J276" s="32"/>
      <c r="K276" s="133"/>
      <c r="L276" s="32"/>
      <c r="M276" s="323" t="e">
        <f>Tracking_SI[[#This Row],[Chênh lệch 
(thừa so với ĐH)]]/Tracking_SI[[#This Row],[Số  lượng trên ĐH]]</f>
        <v>#DIV/0!</v>
      </c>
    </row>
    <row r="277" spans="1:13" ht="21" customHeight="1">
      <c r="A277" s="58" t="s">
        <v>106</v>
      </c>
      <c r="B277" s="73" t="s">
        <v>206</v>
      </c>
      <c r="C277" s="74" t="s">
        <v>205</v>
      </c>
      <c r="D277" s="117"/>
      <c r="E277" s="75"/>
      <c r="F277" s="75"/>
      <c r="G277" s="76"/>
      <c r="H277" s="220"/>
      <c r="I277" s="204"/>
      <c r="J277" s="77"/>
      <c r="K277" s="136"/>
      <c r="L277" s="77"/>
      <c r="M277" s="323" t="e">
        <f>Tracking_SI[[#This Row],[Chênh lệch 
(thừa so với ĐH)]]/Tracking_SI[[#This Row],[Số  lượng trên ĐH]]</f>
        <v>#DIV/0!</v>
      </c>
    </row>
    <row r="278" spans="1:13" ht="21" customHeight="1">
      <c r="A278" s="57" t="s">
        <v>115</v>
      </c>
      <c r="B278" s="366" t="s">
        <v>206</v>
      </c>
      <c r="C278" s="367"/>
      <c r="D278" s="300">
        <v>46044</v>
      </c>
      <c r="E278" s="304" t="s">
        <v>203</v>
      </c>
      <c r="F278" s="368"/>
      <c r="G278" s="302">
        <v>10000</v>
      </c>
      <c r="H278" s="369">
        <f>SUM(H279:H282)</f>
        <v>10052</v>
      </c>
      <c r="I278" s="370">
        <f>Tracking_SI[[#This Row],[Số  lượng trên ĐH]]-Tracking_SI[[#This Row],[Số  lượng giao]]</f>
        <v>-52</v>
      </c>
      <c r="J278" s="32"/>
      <c r="K278" s="133"/>
      <c r="L278" s="32"/>
      <c r="M278" s="326">
        <f>Tracking_SI[[#This Row],[Chênh lệch 
(thừa so với ĐH)]]/Tracking_SI[[#This Row],[Số  lượng trên ĐH]]</f>
        <v>-5.1999999999999998E-3</v>
      </c>
    </row>
    <row r="279" spans="1:13" ht="21" customHeight="1">
      <c r="A279" s="57"/>
      <c r="B279" s="57" t="s">
        <v>206</v>
      </c>
      <c r="C279" s="152"/>
      <c r="D279" s="116">
        <v>46104</v>
      </c>
      <c r="E279" s="27" t="s">
        <v>203</v>
      </c>
      <c r="F279" s="30"/>
      <c r="G279" s="31"/>
      <c r="H279" s="26">
        <v>4275</v>
      </c>
      <c r="I279" s="189"/>
      <c r="J279" s="32"/>
      <c r="K279" s="133"/>
      <c r="L279" s="32"/>
      <c r="M279" s="326" t="e">
        <f>Tracking_SI[[#This Row],[Chênh lệch 
(thừa so với ĐH)]]/Tracking_SI[[#This Row],[Số  lượng trên ĐH]]</f>
        <v>#DIV/0!</v>
      </c>
    </row>
    <row r="280" spans="1:13" ht="21" customHeight="1">
      <c r="A280" s="57"/>
      <c r="B280" s="57" t="s">
        <v>206</v>
      </c>
      <c r="C280" s="152"/>
      <c r="D280" s="116">
        <v>46107</v>
      </c>
      <c r="E280" s="27" t="s">
        <v>203</v>
      </c>
      <c r="F280" s="30"/>
      <c r="G280" s="31"/>
      <c r="H280" s="26">
        <v>975</v>
      </c>
      <c r="I280" s="189"/>
      <c r="J280" s="32"/>
      <c r="K280" s="133"/>
      <c r="L280" s="32"/>
      <c r="M280" s="326" t="e">
        <f>Tracking_SI[[#This Row],[Chênh lệch 
(thừa so với ĐH)]]/Tracking_SI[[#This Row],[Số  lượng trên ĐH]]</f>
        <v>#DIV/0!</v>
      </c>
    </row>
    <row r="281" spans="1:13" ht="21" customHeight="1">
      <c r="A281" s="57"/>
      <c r="B281" s="57" t="s">
        <v>206</v>
      </c>
      <c r="C281" s="152"/>
      <c r="D281" s="116">
        <v>46126</v>
      </c>
      <c r="E281" s="27" t="s">
        <v>203</v>
      </c>
      <c r="F281" s="30"/>
      <c r="G281" s="31"/>
      <c r="H281" s="31">
        <v>3565</v>
      </c>
      <c r="I281" s="189"/>
      <c r="J281" s="32"/>
      <c r="K281" s="133"/>
      <c r="L281" s="32"/>
      <c r="M281" s="326" t="e">
        <f>Tracking_SI[[#This Row],[Chênh lệch 
(thừa so với ĐH)]]/Tracking_SI[[#This Row],[Số  lượng trên ĐH]]</f>
        <v>#DIV/0!</v>
      </c>
    </row>
    <row r="282" spans="1:13" ht="21" customHeight="1">
      <c r="A282" s="57" t="s">
        <v>118</v>
      </c>
      <c r="B282" s="57" t="s">
        <v>206</v>
      </c>
      <c r="C282" s="152"/>
      <c r="D282" s="108">
        <v>46129</v>
      </c>
      <c r="E282" s="27" t="s">
        <v>203</v>
      </c>
      <c r="F282" s="30"/>
      <c r="G282" s="31"/>
      <c r="H282" s="26">
        <v>1237</v>
      </c>
      <c r="I282" s="189"/>
      <c r="J282" s="32"/>
      <c r="K282" s="133"/>
      <c r="L282" s="32"/>
      <c r="M282" s="326" t="e">
        <f>Tracking_SI[[#This Row],[Chênh lệch 
(thừa so với ĐH)]]/Tracking_SI[[#This Row],[Số  lượng trên ĐH]]</f>
        <v>#DIV/0!</v>
      </c>
    </row>
    <row r="283" spans="1:13" ht="21" customHeight="1">
      <c r="A283" s="57" t="s">
        <v>115</v>
      </c>
      <c r="B283" s="366" t="s">
        <v>206</v>
      </c>
      <c r="C283" s="367"/>
      <c r="D283" s="300">
        <v>46086</v>
      </c>
      <c r="E283" s="304" t="s">
        <v>212</v>
      </c>
      <c r="F283" s="302">
        <v>10000</v>
      </c>
      <c r="G283" s="369">
        <v>15000</v>
      </c>
      <c r="H283" s="369">
        <f>SUM(H284:H289)</f>
        <v>2000</v>
      </c>
      <c r="I283" s="370">
        <f>Tracking_SI[[#This Row],[Số  lượng trên ĐH]]-Tracking_SI[[#This Row],[Số  lượng giao]]</f>
        <v>13000</v>
      </c>
      <c r="J283" s="32"/>
      <c r="K283" s="133"/>
      <c r="L283" s="32"/>
      <c r="M283" s="326">
        <f>Tracking_SI[[#This Row],[Chênh lệch 
(thừa so với ĐH)]]/Tracking_SI[[#This Row],[Số  lượng trên ĐH]]</f>
        <v>0.8666666666666667</v>
      </c>
    </row>
    <row r="284" spans="1:13" ht="21" customHeight="1">
      <c r="A284" s="57" t="s">
        <v>118</v>
      </c>
      <c r="B284" s="57" t="s">
        <v>206</v>
      </c>
      <c r="C284" s="152"/>
      <c r="D284" s="108">
        <v>46129</v>
      </c>
      <c r="E284" s="27" t="s">
        <v>212</v>
      </c>
      <c r="F284" s="30"/>
      <c r="G284" s="31"/>
      <c r="H284" s="557">
        <f>3237-H282</f>
        <v>2000</v>
      </c>
      <c r="I284" s="189"/>
      <c r="J284" s="32"/>
      <c r="K284" s="133"/>
      <c r="L284" s="32"/>
      <c r="M284" s="326" t="e">
        <f>Tracking_SI[[#This Row],[Chênh lệch 
(thừa so với ĐH)]]/Tracking_SI[[#This Row],[Số  lượng trên ĐH]]</f>
        <v>#DIV/0!</v>
      </c>
    </row>
    <row r="285" spans="1:13" ht="21" customHeight="1">
      <c r="A285" s="57"/>
      <c r="B285" s="57" t="s">
        <v>206</v>
      </c>
      <c r="C285" s="152"/>
      <c r="D285" s="116"/>
      <c r="E285" s="30" t="s">
        <v>212</v>
      </c>
      <c r="F285" s="30"/>
      <c r="G285" s="31"/>
      <c r="H285" s="239"/>
      <c r="I285" s="189"/>
      <c r="J285" s="32"/>
      <c r="K285" s="133"/>
      <c r="L285" s="32"/>
      <c r="M285" s="326" t="e">
        <f>Tracking_SI[[#This Row],[Chênh lệch 
(thừa so với ĐH)]]/Tracking_SI[[#This Row],[Số  lượng trên ĐH]]</f>
        <v>#DIV/0!</v>
      </c>
    </row>
    <row r="286" spans="1:13" ht="21" customHeight="1">
      <c r="A286" s="57"/>
      <c r="B286" s="57" t="s">
        <v>206</v>
      </c>
      <c r="C286" s="152"/>
      <c r="D286" s="116"/>
      <c r="E286" s="30" t="s">
        <v>212</v>
      </c>
      <c r="F286" s="30"/>
      <c r="G286" s="31"/>
      <c r="H286" s="239"/>
      <c r="I286" s="189"/>
      <c r="J286" s="32"/>
      <c r="K286" s="133"/>
      <c r="L286" s="32"/>
      <c r="M286" s="326" t="e">
        <f>Tracking_SI[[#This Row],[Chênh lệch 
(thừa so với ĐH)]]/Tracking_SI[[#This Row],[Số  lượng trên ĐH]]</f>
        <v>#DIV/0!</v>
      </c>
    </row>
    <row r="287" spans="1:13" ht="21" customHeight="1">
      <c r="A287" s="57" t="s">
        <v>115</v>
      </c>
      <c r="B287" s="366" t="s">
        <v>206</v>
      </c>
      <c r="C287" s="367"/>
      <c r="D287" s="300">
        <v>46086</v>
      </c>
      <c r="E287" s="304" t="s">
        <v>253</v>
      </c>
      <c r="F287" s="369">
        <v>15000</v>
      </c>
      <c r="G287" s="369">
        <v>10000</v>
      </c>
      <c r="H287" s="369">
        <f>SUM(H289:H291)</f>
        <v>0</v>
      </c>
      <c r="I287" s="370">
        <f>Tracking_SI[[#This Row],[Số  lượng trên ĐH]]-Tracking_SI[[#This Row],[Số  lượng giao]]</f>
        <v>10000</v>
      </c>
      <c r="J287" s="32"/>
      <c r="K287" s="133"/>
      <c r="L287" s="32"/>
      <c r="M287" s="326">
        <f>Tracking_SI[[#This Row],[Chênh lệch 
(thừa so với ĐH)]]/Tracking_SI[[#This Row],[Số  lượng trên ĐH]]</f>
        <v>1</v>
      </c>
    </row>
    <row r="288" spans="1:13" ht="21" customHeight="1">
      <c r="A288" s="57"/>
      <c r="B288" s="57" t="s">
        <v>206</v>
      </c>
      <c r="C288" s="152"/>
      <c r="D288" s="116"/>
      <c r="E288" s="30" t="s">
        <v>253</v>
      </c>
      <c r="F288" s="31"/>
      <c r="G288" s="31"/>
      <c r="H288" s="189"/>
      <c r="I288" s="133"/>
      <c r="J288" s="32"/>
      <c r="K288" s="133"/>
      <c r="L288" s="32"/>
      <c r="M288" s="326" t="e">
        <f>Tracking_SI[[#This Row],[Chênh lệch 
(thừa so với ĐH)]]/Tracking_SI[[#This Row],[Số  lượng trên ĐH]]</f>
        <v>#DIV/0!</v>
      </c>
    </row>
    <row r="289" spans="1:13" ht="21" customHeight="1">
      <c r="A289" s="57"/>
      <c r="B289" s="57" t="s">
        <v>206</v>
      </c>
      <c r="C289" s="152"/>
      <c r="D289" s="116"/>
      <c r="E289" s="30" t="s">
        <v>253</v>
      </c>
      <c r="F289" s="30"/>
      <c r="G289" s="31"/>
      <c r="H289" s="31"/>
      <c r="I289" s="189"/>
      <c r="J289" s="32"/>
      <c r="K289" s="133"/>
      <c r="L289" s="32"/>
      <c r="M289" s="326" t="e">
        <f>Tracking_SI[[#This Row],[Chênh lệch 
(thừa so với ĐH)]]/Tracking_SI[[#This Row],[Số  lượng trên ĐH]]</f>
        <v>#DIV/0!</v>
      </c>
    </row>
    <row r="290" spans="1:13" ht="21" customHeight="1">
      <c r="A290" s="58" t="s">
        <v>106</v>
      </c>
      <c r="B290" s="73"/>
      <c r="C290" s="74" t="s">
        <v>204</v>
      </c>
      <c r="D290" s="117"/>
      <c r="E290" s="75"/>
      <c r="F290" s="75"/>
      <c r="G290" s="76"/>
      <c r="H290" s="220"/>
      <c r="I290" s="204"/>
      <c r="J290" s="77"/>
      <c r="K290" s="136"/>
      <c r="L290" s="77"/>
      <c r="M290" s="323" t="e">
        <f>Tracking_SI[[#This Row],[Chênh lệch 
(thừa so với ĐH)]]/Tracking_SI[[#This Row],[Số  lượng trên ĐH]]</f>
        <v>#DIV/0!</v>
      </c>
    </row>
    <row r="291" spans="1:13" ht="21" customHeight="1">
      <c r="A291" s="57"/>
      <c r="B291" s="57"/>
      <c r="C291" s="46"/>
      <c r="D291" s="116"/>
      <c r="F291" s="30"/>
      <c r="G291" s="31"/>
      <c r="H291" s="164"/>
      <c r="I291" s="189"/>
      <c r="J291" s="32"/>
      <c r="K291" s="133"/>
      <c r="L291" s="32"/>
      <c r="M291" s="323" t="e">
        <f>Tracking_SI[[#This Row],[Chênh lệch 
(thừa so với ĐH)]]/Tracking_SI[[#This Row],[Số  lượng trên ĐH]]</f>
        <v>#DIV/0!</v>
      </c>
    </row>
    <row r="292" spans="1:13" ht="21" customHeight="1">
      <c r="A292" s="57"/>
      <c r="B292" s="57"/>
      <c r="C292" s="46"/>
      <c r="D292" s="116"/>
      <c r="F292" s="30"/>
      <c r="G292" s="31"/>
      <c r="H292" s="164"/>
      <c r="I292" s="187"/>
      <c r="J292" s="32"/>
      <c r="K292" s="133"/>
      <c r="L292" s="32"/>
      <c r="M292" s="323" t="e">
        <f>Tracking_SI[[#This Row],[Chênh lệch 
(thừa so với ĐH)]]/Tracking_SI[[#This Row],[Số  lượng trên ĐH]]</f>
        <v>#DIV/0!</v>
      </c>
    </row>
    <row r="293" spans="1:13" ht="21" customHeight="1">
      <c r="A293" s="57"/>
      <c r="B293" s="57"/>
      <c r="C293" s="46"/>
      <c r="D293" s="116"/>
      <c r="F293" s="30"/>
      <c r="G293" s="31"/>
      <c r="H293" s="164"/>
      <c r="I293" s="187"/>
      <c r="J293" s="32"/>
      <c r="K293" s="133"/>
      <c r="L293" s="32"/>
      <c r="M293" s="323" t="e">
        <f>Tracking_SI[[#This Row],[Chênh lệch 
(thừa so với ĐH)]]/Tracking_SI[[#This Row],[Số  lượng trên ĐH]]</f>
        <v>#DIV/0!</v>
      </c>
    </row>
    <row r="294" spans="1:13" ht="21" customHeight="1">
      <c r="A294" s="57"/>
      <c r="B294" s="57"/>
      <c r="C294" s="46"/>
      <c r="D294" s="116"/>
      <c r="F294" s="30"/>
      <c r="G294" s="31"/>
      <c r="H294" s="164"/>
      <c r="I294" s="187"/>
      <c r="J294" s="32"/>
      <c r="K294" s="133"/>
      <c r="L294" s="32"/>
      <c r="M294" s="323" t="e">
        <f>Tracking_SI[[#This Row],[Chênh lệch 
(thừa so với ĐH)]]/Tracking_SI[[#This Row],[Số  lượng trên ĐH]]</f>
        <v>#DIV/0!</v>
      </c>
    </row>
    <row r="295" spans="1:13" ht="21" customHeight="1">
      <c r="A295" s="58" t="s">
        <v>106</v>
      </c>
      <c r="B295" s="73" t="s">
        <v>191</v>
      </c>
      <c r="C295" s="74" t="s">
        <v>190</v>
      </c>
      <c r="D295" s="117"/>
      <c r="E295" s="75"/>
      <c r="F295" s="75"/>
      <c r="G295" s="75"/>
      <c r="H295" s="220"/>
      <c r="I295" s="204"/>
      <c r="J295" s="78"/>
      <c r="K295" s="137"/>
      <c r="L295" s="77"/>
      <c r="M295" s="323" t="e">
        <f>Tracking_SI[[#This Row],[Chênh lệch 
(thừa so với ĐH)]]/Tracking_SI[[#This Row],[Số  lượng trên ĐH]]</f>
        <v>#DIV/0!</v>
      </c>
    </row>
    <row r="296" spans="1:13" ht="21" customHeight="1">
      <c r="A296" s="58" t="s">
        <v>115</v>
      </c>
      <c r="B296" s="57" t="s">
        <v>191</v>
      </c>
      <c r="C296" s="48"/>
      <c r="D296" s="341">
        <v>45506</v>
      </c>
      <c r="E296" s="342" t="s">
        <v>42</v>
      </c>
      <c r="F296" s="28" t="s">
        <v>43</v>
      </c>
      <c r="G296" s="342">
        <v>727</v>
      </c>
      <c r="H296" s="343">
        <f>SUM(H297)</f>
        <v>0</v>
      </c>
      <c r="I296" s="340">
        <f>G296-H296</f>
        <v>727</v>
      </c>
      <c r="J296" s="150">
        <v>36700</v>
      </c>
      <c r="K296" s="127" t="s">
        <v>215</v>
      </c>
      <c r="L296" s="36"/>
      <c r="M296" s="323">
        <f>Tracking_SI[[#This Row],[Chênh lệch 
(thừa so với ĐH)]]/Tracking_SI[[#This Row],[Số  lượng trên ĐH]]</f>
        <v>1</v>
      </c>
    </row>
    <row r="297" spans="1:13" ht="21" customHeight="1">
      <c r="A297" s="58"/>
      <c r="B297" s="57" t="s">
        <v>191</v>
      </c>
      <c r="C297" s="48"/>
      <c r="D297" s="215"/>
      <c r="E297" s="348"/>
      <c r="F297" s="28"/>
      <c r="G297" s="348"/>
      <c r="H297" s="349"/>
      <c r="I297" s="345"/>
      <c r="J297" s="150"/>
      <c r="K297" s="196"/>
      <c r="L297" s="36"/>
      <c r="M297" s="326" t="e">
        <f>Tracking_SI[[#This Row],[Chênh lệch 
(thừa so với ĐH)]]/Tracking_SI[[#This Row],[Số  lượng trên ĐH]]</f>
        <v>#DIV/0!</v>
      </c>
    </row>
    <row r="298" spans="1:13" ht="21" customHeight="1">
      <c r="A298" s="57" t="s">
        <v>115</v>
      </c>
      <c r="B298" s="57" t="s">
        <v>191</v>
      </c>
      <c r="C298" s="48"/>
      <c r="D298" s="350">
        <v>46007</v>
      </c>
      <c r="E298" s="342" t="s">
        <v>189</v>
      </c>
      <c r="F298" s="27"/>
      <c r="G298" s="302">
        <v>15000</v>
      </c>
      <c r="H298" s="351">
        <f>SUM(H299:H301)</f>
        <v>15000</v>
      </c>
      <c r="I298" s="329">
        <f>Tracking_SI[[#This Row],[Số  lượng trên ĐH]]-Tracking_SI[[#This Row],[Số  lượng giao]]</f>
        <v>0</v>
      </c>
      <c r="J298" s="37"/>
      <c r="K298" s="139"/>
      <c r="L298" s="37"/>
      <c r="M298" s="323">
        <f>Tracking_SI[[#This Row],[Chênh lệch 
(thừa so với ĐH)]]/Tracking_SI[[#This Row],[Số  lượng trên ĐH]]</f>
        <v>0</v>
      </c>
    </row>
    <row r="299" spans="1:13" ht="21" customHeight="1">
      <c r="A299" s="57"/>
      <c r="B299" s="57" t="s">
        <v>191</v>
      </c>
      <c r="C299" s="48"/>
      <c r="D299" s="108">
        <v>46018</v>
      </c>
      <c r="E299" s="30" t="s">
        <v>189</v>
      </c>
      <c r="F299" s="27"/>
      <c r="G299" s="27"/>
      <c r="H299" s="164">
        <v>6779</v>
      </c>
      <c r="I299" s="189"/>
      <c r="J299" s="37"/>
      <c r="K299" s="139"/>
      <c r="L299" s="37"/>
      <c r="M299" s="323" t="e">
        <f>Tracking_SI[[#This Row],[Chênh lệch 
(thừa so với ĐH)]]/Tracking_SI[[#This Row],[Số  lượng trên ĐH]]</f>
        <v>#DIV/0!</v>
      </c>
    </row>
    <row r="300" spans="1:13" ht="21" customHeight="1">
      <c r="A300" s="57"/>
      <c r="B300" s="57" t="s">
        <v>191</v>
      </c>
      <c r="C300" s="48"/>
      <c r="D300" s="108">
        <v>46028</v>
      </c>
      <c r="E300" s="30" t="s">
        <v>189</v>
      </c>
      <c r="F300" s="27"/>
      <c r="G300" s="27"/>
      <c r="H300" s="164">
        <v>7072</v>
      </c>
      <c r="I300" s="189"/>
      <c r="J300" s="37"/>
      <c r="K300" s="139"/>
      <c r="L300" s="37"/>
      <c r="M300" s="323" t="e">
        <f>Tracking_SI[[#This Row],[Chênh lệch 
(thừa so với ĐH)]]/Tracking_SI[[#This Row],[Số  lượng trên ĐH]]</f>
        <v>#DIV/0!</v>
      </c>
    </row>
    <row r="301" spans="1:13" ht="21" customHeight="1">
      <c r="A301" s="57" t="s">
        <v>118</v>
      </c>
      <c r="B301" s="57" t="s">
        <v>191</v>
      </c>
      <c r="C301" s="312"/>
      <c r="D301" s="108">
        <v>46104</v>
      </c>
      <c r="E301" s="27" t="s">
        <v>189</v>
      </c>
      <c r="F301" s="27"/>
      <c r="G301" s="27"/>
      <c r="H301" s="335">
        <v>1149</v>
      </c>
      <c r="I301" s="189"/>
      <c r="J301" s="37"/>
      <c r="K301" s="139"/>
      <c r="L301" s="37"/>
      <c r="M301" s="326" t="e">
        <f>Tracking_SI[[#This Row],[Chênh lệch 
(thừa so với ĐH)]]/Tracking_SI[[#This Row],[Số  lượng trên ĐH]]</f>
        <v>#DIV/0!</v>
      </c>
    </row>
    <row r="302" spans="1:13" ht="21" customHeight="1">
      <c r="A302" s="57"/>
      <c r="B302" s="57" t="s">
        <v>191</v>
      </c>
      <c r="C302" s="312"/>
      <c r="D302" s="108">
        <v>46077</v>
      </c>
      <c r="E302" s="342" t="s">
        <v>201</v>
      </c>
      <c r="F302" s="27"/>
      <c r="G302" s="302">
        <v>10000</v>
      </c>
      <c r="H302" s="351">
        <f>SUM(H303:H306)</f>
        <v>9298</v>
      </c>
      <c r="I302" s="329">
        <f>Tracking_SI[[#This Row],[Số  lượng trên ĐH]]-Tracking_SI[[#This Row],[Số  lượng giao]]</f>
        <v>702</v>
      </c>
      <c r="J302" s="37"/>
      <c r="K302" s="139"/>
      <c r="L302" s="37"/>
      <c r="M302" s="326">
        <f>Tracking_SI[[#This Row],[Chênh lệch 
(thừa so với ĐH)]]/Tracking_SI[[#This Row],[Số  lượng trên ĐH]]</f>
        <v>7.0199999999999999E-2</v>
      </c>
    </row>
    <row r="303" spans="1:13" ht="21" customHeight="1">
      <c r="A303" s="57" t="s">
        <v>118</v>
      </c>
      <c r="B303" s="57" t="s">
        <v>191</v>
      </c>
      <c r="C303" s="312"/>
      <c r="D303" s="108">
        <v>46104</v>
      </c>
      <c r="E303" s="27" t="s">
        <v>201</v>
      </c>
      <c r="F303" s="27"/>
      <c r="G303" s="27"/>
      <c r="H303" s="335">
        <f>10447-H301</f>
        <v>9298</v>
      </c>
      <c r="I303" s="189"/>
      <c r="J303" s="37"/>
      <c r="K303" s="139"/>
      <c r="L303" s="37"/>
      <c r="M303" s="326" t="e">
        <f>Tracking_SI[[#This Row],[Chênh lệch 
(thừa so với ĐH)]]/Tracking_SI[[#This Row],[Số  lượng trên ĐH]]</f>
        <v>#DIV/0!</v>
      </c>
    </row>
    <row r="304" spans="1:13" ht="21" customHeight="1">
      <c r="A304" s="57"/>
      <c r="B304" s="57" t="s">
        <v>191</v>
      </c>
      <c r="C304" s="312"/>
      <c r="D304" s="108"/>
      <c r="E304" s="30" t="s">
        <v>201</v>
      </c>
      <c r="F304" s="27"/>
      <c r="G304" s="27"/>
      <c r="H304" s="374"/>
      <c r="I304" s="189"/>
      <c r="J304" s="37"/>
      <c r="K304" s="139"/>
      <c r="L304" s="37"/>
      <c r="M304" s="326" t="e">
        <f>Tracking_SI[[#This Row],[Chênh lệch 
(thừa so với ĐH)]]/Tracking_SI[[#This Row],[Số  lượng trên ĐH]]</f>
        <v>#DIV/0!</v>
      </c>
    </row>
    <row r="305" spans="1:13" ht="21" customHeight="1">
      <c r="A305" s="57"/>
      <c r="B305" s="57" t="s">
        <v>191</v>
      </c>
      <c r="C305" s="312"/>
      <c r="D305" s="108"/>
      <c r="E305" s="30" t="s">
        <v>201</v>
      </c>
      <c r="F305" s="27"/>
      <c r="G305" s="27"/>
      <c r="H305" s="374"/>
      <c r="I305" s="189"/>
      <c r="J305" s="37"/>
      <c r="K305" s="139"/>
      <c r="L305" s="37"/>
      <c r="M305" s="326" t="e">
        <f>Tracking_SI[[#This Row],[Chênh lệch 
(thừa so với ĐH)]]/Tracking_SI[[#This Row],[Số  lượng trên ĐH]]</f>
        <v>#DIV/0!</v>
      </c>
    </row>
    <row r="306" spans="1:13" ht="21" customHeight="1">
      <c r="A306" s="57"/>
      <c r="B306" s="57" t="s">
        <v>191</v>
      </c>
      <c r="C306" s="48"/>
      <c r="D306" s="108"/>
      <c r="E306" s="30" t="s">
        <v>201</v>
      </c>
      <c r="F306" s="27"/>
      <c r="G306" s="27"/>
      <c r="H306" s="335"/>
      <c r="I306" s="189"/>
      <c r="J306" s="37"/>
      <c r="K306" s="139"/>
      <c r="L306" s="37"/>
      <c r="M306" s="323" t="e">
        <f>Tracking_SI[[#This Row],[Chênh lệch 
(thừa so với ĐH)]]/Tracking_SI[[#This Row],[Số  lượng trên ĐH]]</f>
        <v>#DIV/0!</v>
      </c>
    </row>
    <row r="307" spans="1:13" ht="21" customHeight="1">
      <c r="A307" s="58" t="s">
        <v>106</v>
      </c>
      <c r="B307" s="73" t="s">
        <v>187</v>
      </c>
      <c r="C307" s="74" t="s">
        <v>188</v>
      </c>
      <c r="D307" s="117"/>
      <c r="E307" s="308"/>
      <c r="F307" s="79"/>
      <c r="G307" s="79"/>
      <c r="H307" s="337"/>
      <c r="I307" s="204"/>
      <c r="J307" s="77"/>
      <c r="K307" s="136"/>
      <c r="L307" s="77"/>
      <c r="M307" s="323" t="e">
        <f>Tracking_SI[[#This Row],[Chênh lệch 
(thừa so với ĐH)]]/Tracking_SI[[#This Row],[Số  lượng trên ĐH]]</f>
        <v>#DIV/0!</v>
      </c>
    </row>
    <row r="308" spans="1:13" ht="21" customHeight="1">
      <c r="A308" s="58" t="s">
        <v>115</v>
      </c>
      <c r="B308" s="57" t="s">
        <v>187</v>
      </c>
      <c r="C308" s="46"/>
      <c r="D308" s="111">
        <v>45575</v>
      </c>
      <c r="E308" s="309" t="s">
        <v>7</v>
      </c>
      <c r="F308" s="25" t="s">
        <v>43</v>
      </c>
      <c r="G308" s="24">
        <v>8000</v>
      </c>
      <c r="H308" s="164">
        <f>SUM(H309:H311)</f>
        <v>8000</v>
      </c>
      <c r="I308" s="189">
        <f>G308-H308</f>
        <v>0</v>
      </c>
      <c r="J308" s="24">
        <v>34900</v>
      </c>
      <c r="K308" s="127" t="s">
        <v>116</v>
      </c>
      <c r="L308" s="24"/>
      <c r="M308" s="323">
        <f>Tracking_SI[[#This Row],[Chênh lệch 
(thừa so với ĐH)]]/Tracking_SI[[#This Row],[Số  lượng trên ĐH]]</f>
        <v>0</v>
      </c>
    </row>
    <row r="309" spans="1:13" ht="21" customHeight="1">
      <c r="A309" s="57"/>
      <c r="B309" s="57" t="s">
        <v>187</v>
      </c>
      <c r="C309" s="46"/>
      <c r="D309" s="116">
        <v>45693</v>
      </c>
      <c r="F309" s="27"/>
      <c r="G309" s="26"/>
      <c r="H309" s="164">
        <v>2030</v>
      </c>
      <c r="I309" s="187"/>
      <c r="J309" s="26"/>
      <c r="K309" s="130" t="s">
        <v>118</v>
      </c>
      <c r="L309" s="26"/>
      <c r="M309" s="323" t="e">
        <f>Tracking_SI[[#This Row],[Chênh lệch 
(thừa so với ĐH)]]/Tracking_SI[[#This Row],[Số  lượng trên ĐH]]</f>
        <v>#DIV/0!</v>
      </c>
    </row>
    <row r="310" spans="1:13" ht="21" customHeight="1">
      <c r="A310" s="57"/>
      <c r="B310" s="57" t="s">
        <v>187</v>
      </c>
      <c r="C310" s="46"/>
      <c r="D310" s="116">
        <v>45705</v>
      </c>
      <c r="F310" s="30"/>
      <c r="G310" s="30"/>
      <c r="H310" s="164">
        <v>2883</v>
      </c>
      <c r="I310" s="187"/>
      <c r="J310" s="26"/>
      <c r="K310" s="130" t="s">
        <v>118</v>
      </c>
      <c r="L310" s="26"/>
      <c r="M310" s="323" t="e">
        <f>Tracking_SI[[#This Row],[Chênh lệch 
(thừa so với ĐH)]]/Tracking_SI[[#This Row],[Số  lượng trên ĐH]]</f>
        <v>#DIV/0!</v>
      </c>
    </row>
    <row r="311" spans="1:13" ht="21" customHeight="1">
      <c r="A311" s="57"/>
      <c r="B311" s="57" t="s">
        <v>187</v>
      </c>
      <c r="C311" s="46"/>
      <c r="D311" s="116">
        <v>45706</v>
      </c>
      <c r="F311" s="30"/>
      <c r="G311" s="30"/>
      <c r="H311" s="164">
        <v>3087</v>
      </c>
      <c r="I311" s="187"/>
      <c r="J311" s="26"/>
      <c r="K311" s="130" t="s">
        <v>118</v>
      </c>
      <c r="L311" s="26"/>
      <c r="M311" s="323" t="e">
        <f>Tracking_SI[[#This Row],[Chênh lệch 
(thừa so với ĐH)]]/Tracking_SI[[#This Row],[Số  lượng trên ĐH]]</f>
        <v>#DIV/0!</v>
      </c>
    </row>
    <row r="312" spans="1:13" ht="21" customHeight="1">
      <c r="A312" s="58" t="s">
        <v>115</v>
      </c>
      <c r="B312" s="57" t="s">
        <v>187</v>
      </c>
      <c r="C312" s="46"/>
      <c r="D312" s="111">
        <v>45681</v>
      </c>
      <c r="E312" s="309" t="s">
        <v>31</v>
      </c>
      <c r="F312" s="25" t="s">
        <v>8</v>
      </c>
      <c r="G312" s="24">
        <v>15000</v>
      </c>
      <c r="H312" s="164">
        <f>SUM(H313:H318)</f>
        <v>15000</v>
      </c>
      <c r="I312" s="189">
        <f>G312-H312</f>
        <v>0</v>
      </c>
      <c r="J312" s="24">
        <v>35900</v>
      </c>
      <c r="K312" s="127" t="s">
        <v>116</v>
      </c>
      <c r="L312" s="24"/>
      <c r="M312" s="323">
        <f>Tracking_SI[[#This Row],[Chênh lệch 
(thừa so với ĐH)]]/Tracking_SI[[#This Row],[Số  lượng trên ĐH]]</f>
        <v>0</v>
      </c>
    </row>
    <row r="313" spans="1:13" ht="21" customHeight="1">
      <c r="A313" s="57"/>
      <c r="B313" s="57" t="s">
        <v>187</v>
      </c>
      <c r="C313" s="46"/>
      <c r="D313" s="116">
        <v>45706</v>
      </c>
      <c r="F313" s="30"/>
      <c r="G313" s="30"/>
      <c r="H313" s="164">
        <v>2117</v>
      </c>
      <c r="I313" s="186"/>
      <c r="J313" s="26"/>
      <c r="K313" s="130" t="s">
        <v>118</v>
      </c>
      <c r="L313" s="26"/>
      <c r="M313" s="323" t="e">
        <f>Tracking_SI[[#This Row],[Chênh lệch 
(thừa so với ĐH)]]/Tracking_SI[[#This Row],[Số  lượng trên ĐH]]</f>
        <v>#DIV/0!</v>
      </c>
    </row>
    <row r="314" spans="1:13" ht="21" customHeight="1">
      <c r="A314" s="57"/>
      <c r="B314" s="57" t="s">
        <v>187</v>
      </c>
      <c r="C314" s="46"/>
      <c r="D314" s="116">
        <v>45708</v>
      </c>
      <c r="F314" s="30"/>
      <c r="G314" s="30"/>
      <c r="H314" s="164">
        <v>3188</v>
      </c>
      <c r="I314" s="186"/>
      <c r="J314" s="26"/>
      <c r="K314" s="130" t="s">
        <v>118</v>
      </c>
      <c r="L314" s="26"/>
      <c r="M314" s="323" t="e">
        <f>Tracking_SI[[#This Row],[Chênh lệch 
(thừa so với ĐH)]]/Tracking_SI[[#This Row],[Số  lượng trên ĐH]]</f>
        <v>#DIV/0!</v>
      </c>
    </row>
    <row r="315" spans="1:13" ht="21" customHeight="1">
      <c r="A315" s="57"/>
      <c r="B315" s="57" t="s">
        <v>187</v>
      </c>
      <c r="C315" s="46"/>
      <c r="D315" s="116">
        <v>45712</v>
      </c>
      <c r="F315" s="30"/>
      <c r="G315" s="30"/>
      <c r="H315" s="164">
        <v>580</v>
      </c>
      <c r="I315" s="189"/>
      <c r="J315" s="26"/>
      <c r="K315" s="130" t="s">
        <v>118</v>
      </c>
      <c r="L315" s="26"/>
      <c r="M315" s="323" t="e">
        <f>Tracking_SI[[#This Row],[Chênh lệch 
(thừa so với ĐH)]]/Tracking_SI[[#This Row],[Số  lượng trên ĐH]]</f>
        <v>#DIV/0!</v>
      </c>
    </row>
    <row r="316" spans="1:13" ht="21" customHeight="1">
      <c r="A316" s="57"/>
      <c r="B316" s="57" t="s">
        <v>187</v>
      </c>
      <c r="C316" s="46"/>
      <c r="D316" s="116">
        <v>45713</v>
      </c>
      <c r="F316" s="30"/>
      <c r="G316" s="30"/>
      <c r="H316" s="164">
        <v>4044</v>
      </c>
      <c r="I316" s="189"/>
      <c r="J316" s="26"/>
      <c r="K316" s="130" t="s">
        <v>118</v>
      </c>
      <c r="L316" s="26"/>
      <c r="M316" s="323" t="e">
        <f>Tracking_SI[[#This Row],[Chênh lệch 
(thừa so với ĐH)]]/Tracking_SI[[#This Row],[Số  lượng trên ĐH]]</f>
        <v>#DIV/0!</v>
      </c>
    </row>
    <row r="317" spans="1:13" ht="21" customHeight="1">
      <c r="A317" s="57"/>
      <c r="B317" s="57" t="s">
        <v>187</v>
      </c>
      <c r="C317" s="46"/>
      <c r="D317" s="116">
        <v>45719</v>
      </c>
      <c r="F317" s="30"/>
      <c r="G317" s="30"/>
      <c r="H317" s="164">
        <v>2889</v>
      </c>
      <c r="I317" s="189"/>
      <c r="J317" s="26"/>
      <c r="K317" s="130" t="s">
        <v>118</v>
      </c>
      <c r="L317" s="26"/>
      <c r="M317" s="323" t="e">
        <f>Tracking_SI[[#This Row],[Chênh lệch 
(thừa so với ĐH)]]/Tracking_SI[[#This Row],[Số  lượng trên ĐH]]</f>
        <v>#DIV/0!</v>
      </c>
    </row>
    <row r="318" spans="1:13" ht="21" customHeight="1">
      <c r="A318" s="57"/>
      <c r="B318" s="57" t="s">
        <v>187</v>
      </c>
      <c r="C318" s="46"/>
      <c r="D318" s="116">
        <v>45748</v>
      </c>
      <c r="F318" s="27"/>
      <c r="G318" s="26"/>
      <c r="H318" s="164">
        <v>2182</v>
      </c>
      <c r="I318" s="189"/>
      <c r="J318" s="26"/>
      <c r="K318" s="130" t="s">
        <v>118</v>
      </c>
      <c r="L318" s="26"/>
      <c r="M318" s="323" t="e">
        <f>Tracking_SI[[#This Row],[Chênh lệch 
(thừa so với ĐH)]]/Tracking_SI[[#This Row],[Số  lượng trên ĐH]]</f>
        <v>#DIV/0!</v>
      </c>
    </row>
    <row r="319" spans="1:13" ht="21" customHeight="1">
      <c r="A319" s="58" t="s">
        <v>115</v>
      </c>
      <c r="B319" s="57" t="s">
        <v>187</v>
      </c>
      <c r="C319" s="46"/>
      <c r="D319" s="111">
        <v>45702</v>
      </c>
      <c r="E319" s="309" t="s">
        <v>44</v>
      </c>
      <c r="F319" s="24" t="s">
        <v>8</v>
      </c>
      <c r="G319" s="24">
        <v>15000</v>
      </c>
      <c r="H319" s="164">
        <f>SUM(H320:H326)</f>
        <v>15421</v>
      </c>
      <c r="I319" s="199">
        <f>G319-H319</f>
        <v>-421</v>
      </c>
      <c r="J319" s="24">
        <v>35900</v>
      </c>
      <c r="K319" s="127" t="s">
        <v>116</v>
      </c>
      <c r="L319"/>
      <c r="M319">
        <f>Tracking_SI[[#This Row],[Chênh lệch 
(thừa so với ĐH)]]/Tracking_SI[[#This Row],[Số  lượng trên ĐH]]</f>
        <v>-2.8066666666666667E-2</v>
      </c>
    </row>
    <row r="320" spans="1:13" ht="21" customHeight="1">
      <c r="A320" s="57"/>
      <c r="B320" s="57" t="s">
        <v>187</v>
      </c>
      <c r="C320" s="46"/>
      <c r="D320" s="116">
        <v>45748</v>
      </c>
      <c r="E320" s="30" t="s">
        <v>44</v>
      </c>
      <c r="F320" s="27"/>
      <c r="G320" s="26"/>
      <c r="H320" s="164">
        <v>1249</v>
      </c>
      <c r="I320" s="187"/>
      <c r="J320" s="26"/>
      <c r="K320" s="130" t="s">
        <v>118</v>
      </c>
      <c r="L320" s="26"/>
      <c r="M320" s="323" t="e">
        <f>Tracking_SI[[#This Row],[Chênh lệch 
(thừa so với ĐH)]]/Tracking_SI[[#This Row],[Số  lượng trên ĐH]]</f>
        <v>#DIV/0!</v>
      </c>
    </row>
    <row r="321" spans="1:13" ht="21" customHeight="1">
      <c r="A321" s="57"/>
      <c r="B321" s="57" t="s">
        <v>187</v>
      </c>
      <c r="C321" s="46"/>
      <c r="D321" s="116">
        <v>45752</v>
      </c>
      <c r="E321" s="30" t="s">
        <v>44</v>
      </c>
      <c r="F321" s="27"/>
      <c r="G321" s="26"/>
      <c r="H321" s="164">
        <v>2023</v>
      </c>
      <c r="I321" s="187"/>
      <c r="J321" s="26"/>
      <c r="K321" s="130" t="s">
        <v>118</v>
      </c>
      <c r="L321" s="26"/>
      <c r="M321" s="323" t="e">
        <f>Tracking_SI[[#This Row],[Chênh lệch 
(thừa so với ĐH)]]/Tracking_SI[[#This Row],[Số  lượng trên ĐH]]</f>
        <v>#DIV/0!</v>
      </c>
    </row>
    <row r="322" spans="1:13" ht="21" customHeight="1">
      <c r="A322" s="57"/>
      <c r="B322" s="57" t="s">
        <v>187</v>
      </c>
      <c r="C322" s="46"/>
      <c r="D322" s="116">
        <v>45764</v>
      </c>
      <c r="E322" s="30" t="s">
        <v>44</v>
      </c>
      <c r="F322" s="27"/>
      <c r="G322" s="26"/>
      <c r="H322" s="164">
        <v>3176</v>
      </c>
      <c r="I322" s="189"/>
      <c r="J322" s="26"/>
      <c r="K322" s="130" t="s">
        <v>118</v>
      </c>
      <c r="L322" s="26"/>
      <c r="M322" s="323" t="e">
        <f>Tracking_SI[[#This Row],[Chênh lệch 
(thừa so với ĐH)]]/Tracking_SI[[#This Row],[Số  lượng trên ĐH]]</f>
        <v>#DIV/0!</v>
      </c>
    </row>
    <row r="323" spans="1:13" ht="21" customHeight="1">
      <c r="A323" s="57"/>
      <c r="B323" s="57" t="s">
        <v>187</v>
      </c>
      <c r="C323" s="46"/>
      <c r="D323" s="116">
        <v>45766</v>
      </c>
      <c r="E323" s="30" t="s">
        <v>44</v>
      </c>
      <c r="F323" s="27"/>
      <c r="G323" s="26"/>
      <c r="H323" s="164">
        <v>1158</v>
      </c>
      <c r="I323" s="186"/>
      <c r="J323" s="26"/>
      <c r="K323" s="130" t="s">
        <v>118</v>
      </c>
      <c r="L323" s="26"/>
      <c r="M323" s="323" t="e">
        <f>Tracking_SI[[#This Row],[Chênh lệch 
(thừa so với ĐH)]]/Tracking_SI[[#This Row],[Số  lượng trên ĐH]]</f>
        <v>#DIV/0!</v>
      </c>
    </row>
    <row r="324" spans="1:13" ht="21" customHeight="1">
      <c r="A324" s="57"/>
      <c r="B324" s="57" t="s">
        <v>187</v>
      </c>
      <c r="C324" s="46"/>
      <c r="D324" s="116">
        <v>45769</v>
      </c>
      <c r="E324" s="30" t="s">
        <v>44</v>
      </c>
      <c r="F324" s="27"/>
      <c r="G324" s="26"/>
      <c r="H324" s="164">
        <v>1751</v>
      </c>
      <c r="I324" s="186"/>
      <c r="J324" s="26"/>
      <c r="K324" s="130" t="s">
        <v>118</v>
      </c>
      <c r="L324" s="26"/>
      <c r="M324" s="323" t="e">
        <f>Tracking_SI[[#This Row],[Chênh lệch 
(thừa so với ĐH)]]/Tracking_SI[[#This Row],[Số  lượng trên ĐH]]</f>
        <v>#DIV/0!</v>
      </c>
    </row>
    <row r="325" spans="1:13" ht="21" customHeight="1">
      <c r="A325" s="57"/>
      <c r="B325" s="57" t="s">
        <v>187</v>
      </c>
      <c r="C325" s="46"/>
      <c r="D325" s="116">
        <v>45773</v>
      </c>
      <c r="E325" s="30" t="s">
        <v>44</v>
      </c>
      <c r="F325" s="27"/>
      <c r="G325" s="26"/>
      <c r="H325" s="164">
        <v>2873</v>
      </c>
      <c r="I325" s="189"/>
      <c r="J325" s="26"/>
      <c r="K325" s="130" t="s">
        <v>118</v>
      </c>
      <c r="L325" s="26"/>
      <c r="M325" s="323" t="e">
        <f>Tracking_SI[[#This Row],[Chênh lệch 
(thừa so với ĐH)]]/Tracking_SI[[#This Row],[Số  lượng trên ĐH]]</f>
        <v>#DIV/0!</v>
      </c>
    </row>
    <row r="326" spans="1:13" ht="21" customHeight="1">
      <c r="A326" s="57"/>
      <c r="B326" s="57" t="s">
        <v>187</v>
      </c>
      <c r="C326" s="46"/>
      <c r="D326" s="108">
        <v>45981</v>
      </c>
      <c r="E326" s="30" t="s">
        <v>44</v>
      </c>
      <c r="F326" s="27"/>
      <c r="G326" s="26"/>
      <c r="H326" s="164">
        <v>3191</v>
      </c>
      <c r="I326" s="189"/>
      <c r="J326" s="26"/>
      <c r="K326" s="130" t="s">
        <v>118</v>
      </c>
      <c r="L326" s="26"/>
      <c r="M326" s="323" t="e">
        <f>Tracking_SI[[#This Row],[Chênh lệch 
(thừa so với ĐH)]]/Tracking_SI[[#This Row],[Số  lượng trên ĐH]]</f>
        <v>#DIV/0!</v>
      </c>
    </row>
    <row r="327" spans="1:13" ht="21" customHeight="1">
      <c r="A327" s="58" t="s">
        <v>115</v>
      </c>
      <c r="B327" s="57" t="s">
        <v>187</v>
      </c>
      <c r="C327" s="46"/>
      <c r="D327" s="300">
        <v>45720</v>
      </c>
      <c r="E327" s="310" t="s">
        <v>45</v>
      </c>
      <c r="F327" s="155" t="s">
        <v>8</v>
      </c>
      <c r="G327" s="302">
        <v>10000</v>
      </c>
      <c r="H327" s="307">
        <f>SUM(H328:H330)</f>
        <v>9506</v>
      </c>
      <c r="I327" s="304">
        <f>G327-H327</f>
        <v>494</v>
      </c>
      <c r="J327" s="156">
        <v>35900</v>
      </c>
      <c r="K327" s="317"/>
      <c r="L327" s="161"/>
      <c r="M327" s="323">
        <f>Tracking_SI[[#This Row],[Chênh lệch 
(thừa so với ĐH)]]/Tracking_SI[[#This Row],[Số  lượng trên ĐH]]</f>
        <v>4.9399999999999999E-2</v>
      </c>
    </row>
    <row r="328" spans="1:13" ht="21" customHeight="1">
      <c r="A328" s="57"/>
      <c r="B328" s="57" t="s">
        <v>187</v>
      </c>
      <c r="C328" s="46"/>
      <c r="D328" s="108">
        <v>45987</v>
      </c>
      <c r="E328" s="30" t="s">
        <v>45</v>
      </c>
      <c r="F328" s="27"/>
      <c r="G328" s="26"/>
      <c r="H328" s="164">
        <v>5770</v>
      </c>
      <c r="I328" s="189"/>
      <c r="J328" s="26"/>
      <c r="K328" s="131"/>
      <c r="L328" s="26"/>
      <c r="M328" s="323" t="e">
        <f>Tracking_SI[[#This Row],[Chênh lệch 
(thừa so với ĐH)]]/Tracking_SI[[#This Row],[Số  lượng trên ĐH]]</f>
        <v>#DIV/0!</v>
      </c>
    </row>
    <row r="329" spans="1:13" ht="21" customHeight="1">
      <c r="A329" s="57"/>
      <c r="B329" s="57" t="s">
        <v>187</v>
      </c>
      <c r="C329" s="46"/>
      <c r="D329" s="108">
        <v>46008</v>
      </c>
      <c r="E329" s="30" t="s">
        <v>45</v>
      </c>
      <c r="F329" s="27"/>
      <c r="G329" s="26"/>
      <c r="H329" s="164">
        <v>2032</v>
      </c>
      <c r="I329" s="187"/>
      <c r="J329" s="26"/>
      <c r="K329" s="131"/>
      <c r="L329" s="26"/>
      <c r="M329" s="323" t="e">
        <f>Tracking_SI[[#This Row],[Chênh lệch 
(thừa so với ĐH)]]/Tracking_SI[[#This Row],[Số  lượng trên ĐH]]</f>
        <v>#DIV/0!</v>
      </c>
    </row>
    <row r="330" spans="1:13" ht="21" customHeight="1">
      <c r="A330" s="57" t="s">
        <v>118</v>
      </c>
      <c r="B330" s="57" t="s">
        <v>187</v>
      </c>
      <c r="C330" s="46"/>
      <c r="D330" s="108">
        <v>46044</v>
      </c>
      <c r="E330" s="30" t="s">
        <v>45</v>
      </c>
      <c r="F330" s="27"/>
      <c r="G330" s="26"/>
      <c r="H330" s="164">
        <v>1704</v>
      </c>
      <c r="I330" s="187"/>
      <c r="J330" s="26"/>
      <c r="K330" s="131"/>
      <c r="L330" s="26"/>
      <c r="M330" s="323" t="e">
        <f>Tracking_SI[[#This Row],[Chênh lệch 
(thừa so với ĐH)]]/Tracking_SI[[#This Row],[Số  lượng trên ĐH]]</f>
        <v>#DIV/0!</v>
      </c>
    </row>
    <row r="331" spans="1:13" ht="21" customHeight="1">
      <c r="A331" s="58" t="s">
        <v>115</v>
      </c>
      <c r="B331" s="57" t="s">
        <v>187</v>
      </c>
      <c r="C331" s="46"/>
      <c r="D331" s="300">
        <v>45768</v>
      </c>
      <c r="E331" s="310" t="s">
        <v>46</v>
      </c>
      <c r="F331" s="155" t="s">
        <v>8</v>
      </c>
      <c r="G331" s="302">
        <v>10000</v>
      </c>
      <c r="H331" s="307">
        <f>SUM(H332:H334)</f>
        <v>0</v>
      </c>
      <c r="I331" s="316">
        <f>G331-H331</f>
        <v>10000</v>
      </c>
      <c r="J331" s="156">
        <v>35900</v>
      </c>
      <c r="K331" s="317"/>
      <c r="L331" s="161"/>
      <c r="M331" s="323">
        <f>Tracking_SI[[#This Row],[Chênh lệch 
(thừa so với ĐH)]]/Tracking_SI[[#This Row],[Số  lượng trên ĐH]]</f>
        <v>1</v>
      </c>
    </row>
    <row r="332" spans="1:13" ht="21" customHeight="1">
      <c r="A332" s="57"/>
      <c r="B332" s="57" t="s">
        <v>187</v>
      </c>
      <c r="C332" s="46"/>
      <c r="D332" s="108"/>
      <c r="E332" s="30" t="s">
        <v>46</v>
      </c>
      <c r="F332" s="27"/>
      <c r="G332" s="26"/>
      <c r="H332" s="164"/>
      <c r="I332" s="189"/>
      <c r="J332" s="26"/>
      <c r="K332" s="131"/>
      <c r="L332" s="26"/>
      <c r="M332" s="323" t="e">
        <f>Tracking_SI[[#This Row],[Chênh lệch 
(thừa so với ĐH)]]/Tracking_SI[[#This Row],[Số  lượng trên ĐH]]</f>
        <v>#DIV/0!</v>
      </c>
    </row>
    <row r="333" spans="1:13" ht="21" customHeight="1">
      <c r="A333" s="57"/>
      <c r="B333" s="57" t="s">
        <v>187</v>
      </c>
      <c r="C333" s="46"/>
      <c r="D333" s="108"/>
      <c r="E333" s="30" t="s">
        <v>46</v>
      </c>
      <c r="F333" s="27"/>
      <c r="G333" s="26"/>
      <c r="H333" s="164"/>
      <c r="I333" s="186"/>
      <c r="J333" s="26"/>
      <c r="K333" s="131"/>
      <c r="L333" s="26"/>
      <c r="M333" s="323" t="e">
        <f>Tracking_SI[[#This Row],[Chênh lệch 
(thừa so với ĐH)]]/Tracking_SI[[#This Row],[Số  lượng trên ĐH]]</f>
        <v>#DIV/0!</v>
      </c>
    </row>
    <row r="334" spans="1:13" ht="21" customHeight="1">
      <c r="A334" s="57"/>
      <c r="B334" s="57" t="s">
        <v>187</v>
      </c>
      <c r="C334" s="46"/>
      <c r="D334" s="108"/>
      <c r="E334" s="30" t="s">
        <v>46</v>
      </c>
      <c r="F334" s="27"/>
      <c r="G334" s="26"/>
      <c r="H334" s="164"/>
      <c r="I334" s="186"/>
      <c r="J334" s="26"/>
      <c r="K334" s="131"/>
      <c r="L334" s="26"/>
      <c r="M334" s="323" t="e">
        <f>Tracking_SI[[#This Row],[Chênh lệch 
(thừa so với ĐH)]]/Tracking_SI[[#This Row],[Số  lượng trên ĐH]]</f>
        <v>#DIV/0!</v>
      </c>
    </row>
    <row r="335" spans="1:13" ht="21" customHeight="1">
      <c r="A335" s="58" t="s">
        <v>106</v>
      </c>
      <c r="B335" s="73" t="s">
        <v>120</v>
      </c>
      <c r="C335" s="74" t="s">
        <v>124</v>
      </c>
      <c r="D335" s="117"/>
      <c r="E335" s="308"/>
      <c r="F335" s="79"/>
      <c r="G335" s="79"/>
      <c r="H335" s="220"/>
      <c r="I335" s="204"/>
      <c r="J335" s="77"/>
      <c r="K335" s="136"/>
      <c r="L335" s="77"/>
      <c r="M335" s="323" t="e">
        <f>Tracking_SI[[#This Row],[Chênh lệch 
(thừa so với ĐH)]]/Tracking_SI[[#This Row],[Số  lượng trên ĐH]]</f>
        <v>#DIV/0!</v>
      </c>
    </row>
    <row r="336" spans="1:13" ht="21" customHeight="1">
      <c r="A336" s="58"/>
      <c r="B336" s="57" t="s">
        <v>120</v>
      </c>
      <c r="C336" s="49"/>
      <c r="D336" s="183">
        <v>45525</v>
      </c>
      <c r="E336" s="30" t="s">
        <v>47</v>
      </c>
      <c r="F336" s="28" t="s">
        <v>8</v>
      </c>
      <c r="G336" s="194">
        <v>6256</v>
      </c>
      <c r="H336" s="164">
        <f>SUM(H337:H337)</f>
        <v>6256</v>
      </c>
      <c r="I336" s="199">
        <f>G336-H336</f>
        <v>0</v>
      </c>
      <c r="J336" s="150">
        <v>35600</v>
      </c>
      <c r="K336" s="195" t="s">
        <v>116</v>
      </c>
      <c r="L336" s="36"/>
      <c r="M336" s="323">
        <f>Tracking_SI[[#This Row],[Chênh lệch 
(thừa so với ĐH)]]/Tracking_SI[[#This Row],[Số  lượng trên ĐH]]</f>
        <v>0</v>
      </c>
    </row>
    <row r="337" spans="1:21" s="107" customFormat="1" ht="21" customHeight="1">
      <c r="A337" s="57"/>
      <c r="B337" s="57" t="s">
        <v>120</v>
      </c>
      <c r="C337" s="49"/>
      <c r="D337" s="108">
        <v>45666</v>
      </c>
      <c r="E337" s="30"/>
      <c r="F337" s="27"/>
      <c r="G337" s="27"/>
      <c r="H337" s="164">
        <v>6256</v>
      </c>
      <c r="I337" s="189"/>
      <c r="J337" s="37"/>
      <c r="K337" s="127" t="s">
        <v>116</v>
      </c>
      <c r="L337" s="37"/>
      <c r="M337" s="323" t="e">
        <f>Tracking_SI[[#This Row],[Chênh lệch 
(thừa so với ĐH)]]/Tracking_SI[[#This Row],[Số  lượng trên ĐH]]</f>
        <v>#DIV/0!</v>
      </c>
      <c r="Q337"/>
      <c r="R337"/>
      <c r="S337"/>
      <c r="T337"/>
      <c r="U337"/>
    </row>
    <row r="338" spans="1:21" ht="21" customHeight="1">
      <c r="A338" s="57"/>
      <c r="B338" s="57" t="s">
        <v>120</v>
      </c>
      <c r="C338" s="49"/>
      <c r="D338" s="183">
        <v>45665</v>
      </c>
      <c r="E338" s="30" t="s">
        <v>133</v>
      </c>
      <c r="F338" s="28" t="s">
        <v>8</v>
      </c>
      <c r="G338" s="197">
        <v>16000</v>
      </c>
      <c r="H338" s="164">
        <f>SUM(H339:H344)</f>
        <v>16864</v>
      </c>
      <c r="I338" s="199">
        <f>G338-H338</f>
        <v>-864</v>
      </c>
      <c r="J338" s="150">
        <v>35900</v>
      </c>
      <c r="K338" s="195" t="s">
        <v>116</v>
      </c>
      <c r="L338" s="36"/>
      <c r="M338" s="323">
        <f>Tracking_SI[[#This Row],[Chênh lệch 
(thừa so với ĐH)]]/Tracking_SI[[#This Row],[Số  lượng trên ĐH]]</f>
        <v>-5.3999999999999999E-2</v>
      </c>
    </row>
    <row r="339" spans="1:21" ht="21" customHeight="1">
      <c r="A339" s="57"/>
      <c r="B339" s="57" t="s">
        <v>120</v>
      </c>
      <c r="C339" s="49"/>
      <c r="D339" s="108">
        <v>45300</v>
      </c>
      <c r="F339" s="27"/>
      <c r="G339" s="40"/>
      <c r="H339" s="164">
        <f>9011-H337</f>
        <v>2755</v>
      </c>
      <c r="I339" s="187"/>
      <c r="J339" s="37"/>
      <c r="K339" s="127" t="s">
        <v>116</v>
      </c>
      <c r="L339" s="37"/>
      <c r="M339" s="323" t="e">
        <f>Tracking_SI[[#This Row],[Chênh lệch 
(thừa so với ĐH)]]/Tracking_SI[[#This Row],[Số  lượng trên ĐH]]</f>
        <v>#DIV/0!</v>
      </c>
    </row>
    <row r="340" spans="1:21" ht="21" customHeight="1">
      <c r="A340" s="57"/>
      <c r="B340" s="57" t="s">
        <v>120</v>
      </c>
      <c r="C340" s="49"/>
      <c r="D340" s="108">
        <v>45679</v>
      </c>
      <c r="F340" s="27"/>
      <c r="G340" s="40"/>
      <c r="H340" s="164">
        <v>6212</v>
      </c>
      <c r="I340" s="187"/>
      <c r="J340" s="37"/>
      <c r="K340" s="138" t="s">
        <v>118</v>
      </c>
      <c r="L340" s="37"/>
      <c r="M340" s="323" t="e">
        <f>Tracking_SI[[#This Row],[Chênh lệch 
(thừa so với ĐH)]]/Tracking_SI[[#This Row],[Số  lượng trên ĐH]]</f>
        <v>#DIV/0!</v>
      </c>
    </row>
    <row r="341" spans="1:21" ht="21" customHeight="1">
      <c r="A341" s="57"/>
      <c r="B341" s="57" t="s">
        <v>120</v>
      </c>
      <c r="C341" s="49"/>
      <c r="D341" s="108">
        <v>45681</v>
      </c>
      <c r="F341" s="27"/>
      <c r="G341" s="40"/>
      <c r="H341" s="164">
        <v>2069</v>
      </c>
      <c r="I341" s="187"/>
      <c r="J341" s="37"/>
      <c r="K341" s="138" t="s">
        <v>118</v>
      </c>
      <c r="L341" s="37"/>
      <c r="M341" s="323" t="e">
        <f>Tracking_SI[[#This Row],[Chênh lệch 
(thừa so với ĐH)]]/Tracking_SI[[#This Row],[Số  lượng trên ĐH]]</f>
        <v>#DIV/0!</v>
      </c>
    </row>
    <row r="342" spans="1:21" ht="21" customHeight="1">
      <c r="A342" s="57"/>
      <c r="B342" s="57" t="s">
        <v>120</v>
      </c>
      <c r="C342" s="49"/>
      <c r="D342" s="108">
        <v>45692</v>
      </c>
      <c r="F342" s="27"/>
      <c r="G342" s="40"/>
      <c r="H342" s="164">
        <v>2053</v>
      </c>
      <c r="I342" s="189"/>
      <c r="J342" s="37"/>
      <c r="K342" s="138" t="s">
        <v>118</v>
      </c>
      <c r="L342" s="37"/>
      <c r="M342" s="323" t="e">
        <f>Tracking_SI[[#This Row],[Chênh lệch 
(thừa so với ĐH)]]/Tracking_SI[[#This Row],[Số  lượng trên ĐH]]</f>
        <v>#DIV/0!</v>
      </c>
    </row>
    <row r="343" spans="1:21" ht="21" customHeight="1">
      <c r="A343" s="57"/>
      <c r="B343" s="57" t="s">
        <v>120</v>
      </c>
      <c r="C343" s="49"/>
      <c r="D343" s="108">
        <v>45693</v>
      </c>
      <c r="F343" s="27"/>
      <c r="G343" s="40"/>
      <c r="H343" s="164">
        <v>1018</v>
      </c>
      <c r="I343" s="186"/>
      <c r="J343" s="37"/>
      <c r="K343" s="138" t="s">
        <v>118</v>
      </c>
      <c r="L343" s="37"/>
      <c r="M343" s="323" t="e">
        <f>Tracking_SI[[#This Row],[Chênh lệch 
(thừa so với ĐH)]]/Tracking_SI[[#This Row],[Số  lượng trên ĐH]]</f>
        <v>#DIV/0!</v>
      </c>
    </row>
    <row r="344" spans="1:21" ht="21" customHeight="1">
      <c r="A344" s="57"/>
      <c r="B344" s="57" t="s">
        <v>120</v>
      </c>
      <c r="C344" s="49"/>
      <c r="D344" s="108">
        <v>45698</v>
      </c>
      <c r="F344" s="27"/>
      <c r="G344" s="40"/>
      <c r="H344" s="164">
        <v>2757</v>
      </c>
      <c r="I344" s="186"/>
      <c r="J344" s="37"/>
      <c r="K344" s="138" t="s">
        <v>118</v>
      </c>
      <c r="L344" s="37"/>
      <c r="M344" s="323" t="e">
        <f>Tracking_SI[[#This Row],[Chênh lệch 
(thừa so với ĐH)]]/Tracking_SI[[#This Row],[Số  lượng trên ĐH]]</f>
        <v>#DIV/0!</v>
      </c>
    </row>
    <row r="345" spans="1:21" ht="21" customHeight="1">
      <c r="A345" s="58"/>
      <c r="B345" s="57" t="s">
        <v>120</v>
      </c>
      <c r="C345" s="106"/>
      <c r="D345" s="183">
        <v>45675</v>
      </c>
      <c r="E345" s="30" t="s">
        <v>48</v>
      </c>
      <c r="F345" s="28" t="s">
        <v>8</v>
      </c>
      <c r="G345" s="197">
        <v>20000</v>
      </c>
      <c r="H345" s="164">
        <f>SUM(H346:H351)</f>
        <v>20000</v>
      </c>
      <c r="I345" s="199">
        <f>G345-H345</f>
        <v>0</v>
      </c>
      <c r="J345" s="150">
        <f>35900</f>
        <v>35900</v>
      </c>
      <c r="K345" s="195" t="s">
        <v>116</v>
      </c>
      <c r="L345" s="36"/>
      <c r="M345" s="323">
        <f>Tracking_SI[[#This Row],[Chênh lệch 
(thừa so với ĐH)]]/Tracking_SI[[#This Row],[Số  lượng trên ĐH]]</f>
        <v>0</v>
      </c>
    </row>
    <row r="346" spans="1:21" ht="21" customHeight="1">
      <c r="A346" s="57"/>
      <c r="B346" s="57" t="s">
        <v>120</v>
      </c>
      <c r="C346" s="49"/>
      <c r="D346" s="108">
        <v>45701</v>
      </c>
      <c r="F346" s="30"/>
      <c r="G346" s="40"/>
      <c r="H346" s="164">
        <v>6940</v>
      </c>
      <c r="I346" s="189"/>
      <c r="J346" s="37"/>
      <c r="K346" s="138" t="s">
        <v>118</v>
      </c>
      <c r="L346" s="37"/>
      <c r="M346" s="323" t="e">
        <f>Tracking_SI[[#This Row],[Chênh lệch 
(thừa so với ĐH)]]/Tracking_SI[[#This Row],[Số  lượng trên ĐH]]</f>
        <v>#DIV/0!</v>
      </c>
    </row>
    <row r="347" spans="1:21" ht="21" customHeight="1">
      <c r="A347" s="57"/>
      <c r="B347" s="57" t="s">
        <v>120</v>
      </c>
      <c r="C347" s="49"/>
      <c r="D347" s="108">
        <v>45706</v>
      </c>
      <c r="F347" s="27"/>
      <c r="G347" s="40"/>
      <c r="H347" s="164">
        <v>5522</v>
      </c>
      <c r="I347" s="189"/>
      <c r="J347" s="37"/>
      <c r="K347" s="138" t="s">
        <v>118</v>
      </c>
      <c r="L347" s="37"/>
      <c r="M347" s="323" t="e">
        <f>Tracking_SI[[#This Row],[Chênh lệch 
(thừa so với ĐH)]]/Tracking_SI[[#This Row],[Số  lượng trên ĐH]]</f>
        <v>#DIV/0!</v>
      </c>
    </row>
    <row r="348" spans="1:21" ht="21" customHeight="1">
      <c r="A348" s="57"/>
      <c r="B348" s="57" t="s">
        <v>120</v>
      </c>
      <c r="C348" s="49"/>
      <c r="D348" s="108">
        <v>45708</v>
      </c>
      <c r="F348" s="27"/>
      <c r="G348" s="40"/>
      <c r="H348" s="164">
        <v>2414</v>
      </c>
      <c r="I348" s="189"/>
      <c r="J348" s="37"/>
      <c r="K348" s="138" t="s">
        <v>118</v>
      </c>
      <c r="L348" s="37"/>
      <c r="M348" s="323" t="e">
        <f>Tracking_SI[[#This Row],[Chênh lệch 
(thừa so với ĐH)]]/Tracking_SI[[#This Row],[Số  lượng trên ĐH]]</f>
        <v>#DIV/0!</v>
      </c>
    </row>
    <row r="349" spans="1:21" ht="21" customHeight="1">
      <c r="A349" s="57"/>
      <c r="B349" s="57" t="s">
        <v>120</v>
      </c>
      <c r="C349" s="49"/>
      <c r="D349" s="108">
        <v>45712</v>
      </c>
      <c r="F349" s="27"/>
      <c r="G349" s="40"/>
      <c r="H349" s="164">
        <v>1033</v>
      </c>
      <c r="I349" s="187"/>
      <c r="J349" s="37"/>
      <c r="K349" s="138" t="s">
        <v>118</v>
      </c>
      <c r="L349" s="37"/>
      <c r="M349" s="323" t="e">
        <f>Tracking_SI[[#This Row],[Chênh lệch 
(thừa so với ĐH)]]/Tracking_SI[[#This Row],[Số  lượng trên ĐH]]</f>
        <v>#DIV/0!</v>
      </c>
    </row>
    <row r="350" spans="1:21" ht="21" customHeight="1">
      <c r="A350" s="57"/>
      <c r="B350" s="57" t="s">
        <v>120</v>
      </c>
      <c r="C350" s="49"/>
      <c r="D350" s="108">
        <v>45713</v>
      </c>
      <c r="F350" s="27"/>
      <c r="G350" s="40"/>
      <c r="H350" s="164">
        <v>2073</v>
      </c>
      <c r="I350" s="187"/>
      <c r="J350" s="37"/>
      <c r="K350" s="138" t="s">
        <v>118</v>
      </c>
      <c r="L350" s="37"/>
      <c r="M350" s="323" t="e">
        <f>Tracking_SI[[#This Row],[Chênh lệch 
(thừa so với ĐH)]]/Tracking_SI[[#This Row],[Số  lượng trên ĐH]]</f>
        <v>#DIV/0!</v>
      </c>
    </row>
    <row r="351" spans="1:21" ht="21" customHeight="1">
      <c r="A351" s="57"/>
      <c r="B351" s="57" t="s">
        <v>120</v>
      </c>
      <c r="C351" s="49"/>
      <c r="D351" s="108">
        <v>45719</v>
      </c>
      <c r="F351" s="27"/>
      <c r="G351" s="40"/>
      <c r="H351" s="164">
        <v>2018</v>
      </c>
      <c r="I351" s="187"/>
      <c r="J351" s="37"/>
      <c r="K351" s="138" t="s">
        <v>118</v>
      </c>
      <c r="L351" s="37"/>
      <c r="M351" s="323" t="e">
        <f>Tracking_SI[[#This Row],[Chênh lệch 
(thừa so với ĐH)]]/Tracking_SI[[#This Row],[Số  lượng trên ĐH]]</f>
        <v>#DIV/0!</v>
      </c>
    </row>
    <row r="352" spans="1:21" ht="21" customHeight="1">
      <c r="A352" s="58"/>
      <c r="B352" s="57" t="s">
        <v>120</v>
      </c>
      <c r="C352" s="49"/>
      <c r="D352" s="183">
        <v>45681</v>
      </c>
      <c r="E352" s="30" t="s">
        <v>31</v>
      </c>
      <c r="F352" s="28" t="s">
        <v>8</v>
      </c>
      <c r="G352" s="197">
        <v>12000</v>
      </c>
      <c r="H352" s="164">
        <f>SUM(H353:H356)</f>
        <v>12000</v>
      </c>
      <c r="I352" s="199">
        <f>G352-H352</f>
        <v>0</v>
      </c>
      <c r="J352" s="150">
        <v>35900</v>
      </c>
      <c r="K352" s="195" t="s">
        <v>116</v>
      </c>
      <c r="L352" s="36"/>
      <c r="M352" s="323">
        <f>Tracking_SI[[#This Row],[Chênh lệch 
(thừa so với ĐH)]]/Tracking_SI[[#This Row],[Số  lượng trên ĐH]]</f>
        <v>0</v>
      </c>
    </row>
    <row r="353" spans="1:13" ht="21" customHeight="1">
      <c r="A353" s="57"/>
      <c r="B353" s="57" t="s">
        <v>120</v>
      </c>
      <c r="C353" s="49"/>
      <c r="D353" s="108">
        <v>45719</v>
      </c>
      <c r="F353" s="27"/>
      <c r="G353" s="27"/>
      <c r="H353" s="164">
        <v>3156</v>
      </c>
      <c r="I353" s="186"/>
      <c r="J353" s="37"/>
      <c r="K353" s="138" t="s">
        <v>118</v>
      </c>
      <c r="L353" s="37"/>
      <c r="M353" s="323" t="e">
        <f>Tracking_SI[[#This Row],[Chênh lệch 
(thừa so với ĐH)]]/Tracking_SI[[#This Row],[Số  lượng trên ĐH]]</f>
        <v>#DIV/0!</v>
      </c>
    </row>
    <row r="354" spans="1:13" ht="21" customHeight="1">
      <c r="A354" s="57"/>
      <c r="B354" s="57" t="s">
        <v>120</v>
      </c>
      <c r="C354" s="49"/>
      <c r="D354" s="108">
        <v>45729</v>
      </c>
      <c r="F354" s="27"/>
      <c r="G354" s="27"/>
      <c r="H354" s="164">
        <v>6208</v>
      </c>
      <c r="I354" s="186"/>
      <c r="J354" s="37"/>
      <c r="K354" s="138" t="s">
        <v>118</v>
      </c>
      <c r="L354" s="37"/>
      <c r="M354" s="323" t="e">
        <f>Tracking_SI[[#This Row],[Chênh lệch 
(thừa so với ĐH)]]/Tracking_SI[[#This Row],[Số  lượng trên ĐH]]</f>
        <v>#DIV/0!</v>
      </c>
    </row>
    <row r="355" spans="1:13" ht="21" customHeight="1">
      <c r="A355" s="57"/>
      <c r="B355" s="57" t="s">
        <v>120</v>
      </c>
      <c r="C355" s="49"/>
      <c r="D355" s="108">
        <v>45731</v>
      </c>
      <c r="F355" s="27"/>
      <c r="G355" s="27"/>
      <c r="H355" s="164">
        <v>1388</v>
      </c>
      <c r="I355" s="189"/>
      <c r="J355" s="37"/>
      <c r="K355" s="138" t="s">
        <v>118</v>
      </c>
      <c r="L355" s="37"/>
      <c r="M355" s="323" t="e">
        <f>Tracking_SI[[#This Row],[Chênh lệch 
(thừa so với ĐH)]]/Tracking_SI[[#This Row],[Số  lượng trên ĐH]]</f>
        <v>#DIV/0!</v>
      </c>
    </row>
    <row r="356" spans="1:13" ht="21" customHeight="1">
      <c r="A356" s="57"/>
      <c r="B356" s="57" t="s">
        <v>120</v>
      </c>
      <c r="C356" s="49"/>
      <c r="D356" s="108">
        <v>45752</v>
      </c>
      <c r="F356" s="27"/>
      <c r="G356" s="27"/>
      <c r="H356" s="164">
        <v>1248</v>
      </c>
      <c r="I356" s="189"/>
      <c r="J356" s="37"/>
      <c r="K356" s="138" t="s">
        <v>118</v>
      </c>
      <c r="L356" s="37"/>
      <c r="M356" s="323" t="e">
        <f>Tracking_SI[[#This Row],[Chênh lệch 
(thừa so với ĐH)]]/Tracking_SI[[#This Row],[Số  lượng trên ĐH]]</f>
        <v>#DIV/0!</v>
      </c>
    </row>
    <row r="357" spans="1:13" ht="21.75" customHeight="1">
      <c r="A357" s="58"/>
      <c r="B357" s="57" t="s">
        <v>120</v>
      </c>
      <c r="C357" s="106"/>
      <c r="D357" s="183">
        <v>45702</v>
      </c>
      <c r="E357" s="30" t="s">
        <v>44</v>
      </c>
      <c r="F357" s="28" t="s">
        <v>8</v>
      </c>
      <c r="G357" s="149">
        <v>10000</v>
      </c>
      <c r="H357" s="164">
        <f>SUM(H358:H363)</f>
        <v>10445</v>
      </c>
      <c r="I357" s="199">
        <f>G357-H357</f>
        <v>-445</v>
      </c>
      <c r="J357" s="150">
        <v>35900</v>
      </c>
      <c r="K357" s="195" t="s">
        <v>116</v>
      </c>
      <c r="L357" s="36"/>
      <c r="M357" s="325">
        <f>Tracking_SI[[#This Row],[Chênh lệch 
(thừa so với ĐH)]]/Tracking_SI[[#This Row],[Số  lượng trên ĐH]]</f>
        <v>-4.4499999999999998E-2</v>
      </c>
    </row>
    <row r="358" spans="1:13" ht="21.75" customHeight="1">
      <c r="A358" s="57"/>
      <c r="B358" s="57" t="s">
        <v>120</v>
      </c>
      <c r="C358" s="49"/>
      <c r="D358" s="108">
        <v>45752</v>
      </c>
      <c r="F358" s="27"/>
      <c r="G358" s="26"/>
      <c r="H358" s="164">
        <v>768</v>
      </c>
      <c r="I358" s="189"/>
      <c r="J358" s="37"/>
      <c r="K358" s="138" t="s">
        <v>118</v>
      </c>
      <c r="L358" s="37"/>
      <c r="M358" s="323" t="e">
        <f>Tracking_SI[[#This Row],[Chênh lệch 
(thừa so với ĐH)]]/Tracking_SI[[#This Row],[Số  lượng trên ĐH]]</f>
        <v>#DIV/0!</v>
      </c>
    </row>
    <row r="359" spans="1:13" ht="21.75" customHeight="1">
      <c r="A359" s="57"/>
      <c r="B359" s="57" t="s">
        <v>120</v>
      </c>
      <c r="C359" s="49"/>
      <c r="D359" s="108">
        <v>45757</v>
      </c>
      <c r="F359" s="27"/>
      <c r="G359" s="26"/>
      <c r="H359" s="164">
        <v>3461</v>
      </c>
      <c r="I359" s="187"/>
      <c r="J359" s="37"/>
      <c r="K359" s="138" t="s">
        <v>118</v>
      </c>
      <c r="L359" s="37"/>
      <c r="M359" s="323" t="e">
        <f>Tracking_SI[[#This Row],[Chênh lệch 
(thừa so với ĐH)]]/Tracking_SI[[#This Row],[Số  lượng trên ĐH]]</f>
        <v>#DIV/0!</v>
      </c>
    </row>
    <row r="360" spans="1:13" ht="21.75" customHeight="1">
      <c r="A360" s="57"/>
      <c r="B360" s="57" t="s">
        <v>120</v>
      </c>
      <c r="C360" s="49"/>
      <c r="D360" s="108">
        <v>45769</v>
      </c>
      <c r="F360" s="27"/>
      <c r="G360" s="26"/>
      <c r="H360" s="164">
        <v>3471</v>
      </c>
      <c r="I360" s="187"/>
      <c r="J360" s="37"/>
      <c r="K360" s="138" t="s">
        <v>118</v>
      </c>
      <c r="L360" s="37"/>
      <c r="M360" s="323" t="e">
        <f>Tracking_SI[[#This Row],[Chênh lệch 
(thừa so với ĐH)]]/Tracking_SI[[#This Row],[Số  lượng trên ĐH]]</f>
        <v>#DIV/0!</v>
      </c>
    </row>
    <row r="361" spans="1:13" ht="21.75" customHeight="1">
      <c r="A361" s="57"/>
      <c r="B361" s="57" t="s">
        <v>120</v>
      </c>
      <c r="C361" s="49"/>
      <c r="D361" s="108">
        <v>45773</v>
      </c>
      <c r="F361" s="27"/>
      <c r="G361" s="26"/>
      <c r="H361" s="164">
        <v>684</v>
      </c>
      <c r="I361" s="187"/>
      <c r="J361" s="37"/>
      <c r="K361" s="138" t="s">
        <v>118</v>
      </c>
      <c r="L361" s="37"/>
      <c r="M361" s="323" t="e">
        <f>Tracking_SI[[#This Row],[Chênh lệch 
(thừa so với ĐH)]]/Tracking_SI[[#This Row],[Số  lượng trên ĐH]]</f>
        <v>#DIV/0!</v>
      </c>
    </row>
    <row r="362" spans="1:13" ht="21.75" customHeight="1">
      <c r="A362" s="57"/>
      <c r="B362" s="57" t="s">
        <v>120</v>
      </c>
      <c r="C362" s="49"/>
      <c r="D362" s="108">
        <v>45776</v>
      </c>
      <c r="F362" s="27"/>
      <c r="G362" s="26"/>
      <c r="H362" s="164">
        <v>687</v>
      </c>
      <c r="I362" s="189"/>
      <c r="J362" s="37"/>
      <c r="K362" s="138" t="s">
        <v>118</v>
      </c>
      <c r="L362" s="37"/>
      <c r="M362" s="323" t="e">
        <f>Tracking_SI[[#This Row],[Chênh lệch 
(thừa so với ĐH)]]/Tracking_SI[[#This Row],[Số  lượng trên ĐH]]</f>
        <v>#DIV/0!</v>
      </c>
    </row>
    <row r="363" spans="1:13" ht="21.75" customHeight="1">
      <c r="A363" s="57"/>
      <c r="B363" s="57" t="s">
        <v>120</v>
      </c>
      <c r="C363" s="49"/>
      <c r="D363" s="108">
        <v>45783</v>
      </c>
      <c r="F363" s="27"/>
      <c r="G363" s="26"/>
      <c r="H363" s="164">
        <v>1374</v>
      </c>
      <c r="I363" s="186"/>
      <c r="J363" s="37"/>
      <c r="K363" s="138" t="s">
        <v>118</v>
      </c>
      <c r="L363" s="37"/>
      <c r="M363" s="323" t="e">
        <f>Tracking_SI[[#This Row],[Chênh lệch 
(thừa so với ĐH)]]/Tracking_SI[[#This Row],[Số  lượng trên ĐH]]</f>
        <v>#DIV/0!</v>
      </c>
    </row>
    <row r="364" spans="1:13" ht="21.75" customHeight="1">
      <c r="A364" s="58"/>
      <c r="B364" s="57" t="s">
        <v>120</v>
      </c>
      <c r="C364" s="49"/>
      <c r="D364" s="113">
        <v>45720</v>
      </c>
      <c r="E364" s="309" t="s">
        <v>45</v>
      </c>
      <c r="F364" s="25" t="s">
        <v>8</v>
      </c>
      <c r="G364" s="29">
        <v>10000</v>
      </c>
      <c r="H364" s="165">
        <f>SUM(H365:H370)</f>
        <v>10000</v>
      </c>
      <c r="I364" s="299">
        <f>G364-H364</f>
        <v>0</v>
      </c>
      <c r="J364" s="36">
        <v>35900</v>
      </c>
      <c r="K364" s="138" t="s">
        <v>116</v>
      </c>
      <c r="L364" s="158"/>
      <c r="M364" s="323">
        <f>Tracking_SI[[#This Row],[Chênh lệch 
(thừa so với ĐH)]]/Tracking_SI[[#This Row],[Số  lượng trên ĐH]]</f>
        <v>0</v>
      </c>
    </row>
    <row r="365" spans="1:13" ht="21.75" customHeight="1">
      <c r="A365" s="57"/>
      <c r="B365" s="57" t="s">
        <v>120</v>
      </c>
      <c r="C365" s="49"/>
      <c r="D365" s="108">
        <v>45785</v>
      </c>
      <c r="E365" s="30" t="s">
        <v>45</v>
      </c>
      <c r="F365" s="27"/>
      <c r="G365" s="26"/>
      <c r="H365" s="164">
        <v>1039</v>
      </c>
      <c r="I365" s="189"/>
      <c r="J365" s="37"/>
      <c r="K365" s="196" t="s">
        <v>118</v>
      </c>
      <c r="L365" s="37"/>
      <c r="M365" s="323" t="e">
        <f>Tracking_SI[[#This Row],[Chênh lệch 
(thừa so với ĐH)]]/Tracking_SI[[#This Row],[Số  lượng trên ĐH]]</f>
        <v>#DIV/0!</v>
      </c>
    </row>
    <row r="366" spans="1:13" ht="21.75" customHeight="1">
      <c r="A366" s="57"/>
      <c r="B366" s="57" t="s">
        <v>120</v>
      </c>
      <c r="C366" s="49"/>
      <c r="D366" s="108">
        <v>45787</v>
      </c>
      <c r="E366" s="30" t="s">
        <v>45</v>
      </c>
      <c r="F366" s="27"/>
      <c r="G366" s="26"/>
      <c r="H366" s="164">
        <v>1041</v>
      </c>
      <c r="I366" s="189"/>
      <c r="J366" s="37"/>
      <c r="K366" s="196" t="s">
        <v>118</v>
      </c>
      <c r="L366" s="37"/>
      <c r="M366" s="323" t="e">
        <f>Tracking_SI[[#This Row],[Chênh lệch 
(thừa so với ĐH)]]/Tracking_SI[[#This Row],[Số  lượng trên ĐH]]</f>
        <v>#DIV/0!</v>
      </c>
    </row>
    <row r="367" spans="1:13" ht="21.75" customHeight="1">
      <c r="A367" s="57"/>
      <c r="B367" s="57" t="s">
        <v>120</v>
      </c>
      <c r="C367" s="49"/>
      <c r="D367" s="108">
        <v>45793</v>
      </c>
      <c r="E367" s="30" t="s">
        <v>45</v>
      </c>
      <c r="F367" s="27"/>
      <c r="G367" s="26"/>
      <c r="H367" s="164">
        <v>2098</v>
      </c>
      <c r="I367" s="189"/>
      <c r="J367" s="37"/>
      <c r="K367" s="196" t="s">
        <v>118</v>
      </c>
      <c r="L367" s="37"/>
      <c r="M367" s="323" t="e">
        <f>Tracking_SI[[#This Row],[Chênh lệch 
(thừa so với ĐH)]]/Tracking_SI[[#This Row],[Số  lượng trên ĐH]]</f>
        <v>#DIV/0!</v>
      </c>
    </row>
    <row r="368" spans="1:13" ht="21.75" customHeight="1">
      <c r="A368" s="57"/>
      <c r="B368" s="57" t="s">
        <v>120</v>
      </c>
      <c r="C368" s="49"/>
      <c r="D368" s="108">
        <v>45805</v>
      </c>
      <c r="E368" s="30" t="s">
        <v>45</v>
      </c>
      <c r="F368" s="27"/>
      <c r="G368" s="26"/>
      <c r="H368" s="164">
        <v>3799</v>
      </c>
      <c r="I368" s="189"/>
      <c r="J368" s="37"/>
      <c r="K368" s="196" t="s">
        <v>118</v>
      </c>
      <c r="L368" s="37"/>
      <c r="M368" s="323" t="e">
        <f>Tracking_SI[[#This Row],[Chênh lệch 
(thừa so với ĐH)]]/Tracking_SI[[#This Row],[Số  lượng trên ĐH]]</f>
        <v>#DIV/0!</v>
      </c>
    </row>
    <row r="369" spans="1:13" ht="21.75" customHeight="1">
      <c r="B369" s="57" t="s">
        <v>120</v>
      </c>
      <c r="D369" s="114">
        <v>45807</v>
      </c>
      <c r="E369" s="30" t="s">
        <v>45</v>
      </c>
      <c r="F369" s="30"/>
      <c r="H369" s="164">
        <v>1034</v>
      </c>
      <c r="I369" s="186"/>
      <c r="J369" s="18"/>
      <c r="K369" s="196" t="s">
        <v>118</v>
      </c>
      <c r="L369"/>
      <c r="M369" s="323" t="e">
        <f>Tracking_SI[[#This Row],[Chênh lệch 
(thừa so với ĐH)]]/Tracking_SI[[#This Row],[Số  lượng trên ĐH]]</f>
        <v>#DIV/0!</v>
      </c>
    </row>
    <row r="370" spans="1:13" ht="21.75" customHeight="1">
      <c r="A370" s="57"/>
      <c r="B370" s="57" t="s">
        <v>120</v>
      </c>
      <c r="C370" s="153"/>
      <c r="D370" s="108">
        <v>45848</v>
      </c>
      <c r="E370" s="30" t="s">
        <v>45</v>
      </c>
      <c r="F370" s="27"/>
      <c r="G370" s="26"/>
      <c r="H370" s="164">
        <v>989</v>
      </c>
      <c r="I370" s="187"/>
      <c r="J370" s="37"/>
      <c r="K370" s="196" t="s">
        <v>118</v>
      </c>
      <c r="L370" s="37"/>
      <c r="M370" s="323" t="e">
        <f>Tracking_SI[[#This Row],[Chênh lệch 
(thừa so với ĐH)]]/Tracking_SI[[#This Row],[Số  lượng trên ĐH]]</f>
        <v>#DIV/0!</v>
      </c>
    </row>
    <row r="371" spans="1:13" ht="21.75" customHeight="1">
      <c r="A371" s="57"/>
      <c r="B371" s="57" t="s">
        <v>120</v>
      </c>
      <c r="C371" s="49"/>
      <c r="D371" s="113">
        <v>45768</v>
      </c>
      <c r="E371" s="28" t="s">
        <v>46</v>
      </c>
      <c r="F371" s="155" t="s">
        <v>8</v>
      </c>
      <c r="G371" s="29">
        <v>16000</v>
      </c>
      <c r="H371" s="338">
        <f>SUM(H372:H376)</f>
        <v>18105</v>
      </c>
      <c r="I371" s="304">
        <f>G371-H371</f>
        <v>-2105</v>
      </c>
      <c r="J371" s="305">
        <v>35900</v>
      </c>
      <c r="K371" s="130" t="s">
        <v>116</v>
      </c>
      <c r="L371" s="38"/>
      <c r="M371" s="323">
        <f>Tracking_SI[[#This Row],[Chênh lệch 
(thừa so với ĐH)]]/Tracking_SI[[#This Row],[Số  lượng trên ĐH]]</f>
        <v>-0.1315625</v>
      </c>
    </row>
    <row r="372" spans="1:13" ht="21.75" customHeight="1">
      <c r="A372" s="57"/>
      <c r="B372" s="57" t="s">
        <v>120</v>
      </c>
      <c r="C372" s="49"/>
      <c r="D372" s="108">
        <v>45848</v>
      </c>
      <c r="E372" s="30" t="s">
        <v>46</v>
      </c>
      <c r="F372" s="27"/>
      <c r="G372" s="26"/>
      <c r="H372" s="298">
        <f>7960-H370</f>
        <v>6971</v>
      </c>
      <c r="I372" s="189"/>
      <c r="J372" s="37"/>
      <c r="K372" s="196" t="s">
        <v>118</v>
      </c>
      <c r="L372" s="37"/>
      <c r="M372" s="323" t="e">
        <f>Tracking_SI[[#This Row],[Chênh lệch 
(thừa so với ĐH)]]/Tracking_SI[[#This Row],[Số  lượng trên ĐH]]</f>
        <v>#DIV/0!</v>
      </c>
    </row>
    <row r="373" spans="1:13" ht="21.75" customHeight="1">
      <c r="A373" s="57"/>
      <c r="B373" s="57" t="s">
        <v>120</v>
      </c>
      <c r="C373" s="49"/>
      <c r="D373" s="108">
        <v>45852</v>
      </c>
      <c r="E373" s="30" t="s">
        <v>46</v>
      </c>
      <c r="F373" s="27"/>
      <c r="G373" s="26"/>
      <c r="H373" s="164">
        <v>4536</v>
      </c>
      <c r="I373" s="189"/>
      <c r="J373" s="37"/>
      <c r="K373" s="196" t="s">
        <v>118</v>
      </c>
      <c r="L373" s="37"/>
      <c r="M373" s="323" t="e">
        <f>Tracking_SI[[#This Row],[Chênh lệch 
(thừa so với ĐH)]]/Tracking_SI[[#This Row],[Số  lượng trên ĐH]]</f>
        <v>#DIV/0!</v>
      </c>
    </row>
    <row r="374" spans="1:13" ht="21.75" customHeight="1">
      <c r="A374" s="57"/>
      <c r="B374" s="57" t="s">
        <v>120</v>
      </c>
      <c r="C374" s="49"/>
      <c r="D374" s="116">
        <v>45976</v>
      </c>
      <c r="E374" s="30" t="s">
        <v>46</v>
      </c>
      <c r="F374" s="27"/>
      <c r="G374" s="26"/>
      <c r="H374" s="164">
        <v>3140</v>
      </c>
      <c r="I374" s="189"/>
      <c r="J374" s="37"/>
      <c r="K374" s="196" t="s">
        <v>118</v>
      </c>
      <c r="L374" s="37"/>
      <c r="M374" s="323" t="e">
        <f>Tracking_SI[[#This Row],[Chênh lệch 
(thừa so với ĐH)]]/Tracking_SI[[#This Row],[Số  lượng trên ĐH]]</f>
        <v>#DIV/0!</v>
      </c>
    </row>
    <row r="375" spans="1:13" ht="21.75" customHeight="1">
      <c r="A375" s="57"/>
      <c r="B375" s="57" t="s">
        <v>120</v>
      </c>
      <c r="C375" s="49"/>
      <c r="D375" s="116">
        <v>45981</v>
      </c>
      <c r="E375" s="30" t="s">
        <v>46</v>
      </c>
      <c r="F375" s="27"/>
      <c r="G375" s="26"/>
      <c r="H375" s="164">
        <v>2408</v>
      </c>
      <c r="I375" s="189"/>
      <c r="J375" s="37"/>
      <c r="K375" s="196" t="s">
        <v>118</v>
      </c>
      <c r="L375" s="37"/>
      <c r="M375" s="323" t="e">
        <f>Tracking_SI[[#This Row],[Chênh lệch 
(thừa so với ĐH)]]/Tracking_SI[[#This Row],[Số  lượng trên ĐH]]</f>
        <v>#DIV/0!</v>
      </c>
    </row>
    <row r="376" spans="1:13" ht="21.75" customHeight="1">
      <c r="A376" s="57"/>
      <c r="B376" s="57" t="s">
        <v>120</v>
      </c>
      <c r="C376" s="49"/>
      <c r="D376" s="116">
        <v>45987</v>
      </c>
      <c r="E376" s="309" t="s">
        <v>46</v>
      </c>
      <c r="F376" s="27"/>
      <c r="G376" s="26"/>
      <c r="H376" s="164">
        <v>1050</v>
      </c>
      <c r="I376" s="189"/>
      <c r="J376" s="37"/>
      <c r="K376" s="196" t="s">
        <v>118</v>
      </c>
      <c r="L376" s="37"/>
      <c r="M376" s="323" t="e">
        <f>Tracking_SI[[#This Row],[Chênh lệch 
(thừa so với ĐH)]]/Tracking_SI[[#This Row],[Số  lượng trên ĐH]]</f>
        <v>#DIV/0!</v>
      </c>
    </row>
    <row r="377" spans="1:13" ht="21.75" customHeight="1">
      <c r="A377" s="57" t="s">
        <v>115</v>
      </c>
      <c r="B377" s="57" t="s">
        <v>120</v>
      </c>
      <c r="C377" s="49"/>
      <c r="D377" s="113">
        <v>46014</v>
      </c>
      <c r="E377" s="299" t="s">
        <v>192</v>
      </c>
      <c r="F377" s="299"/>
      <c r="G377" s="299">
        <v>10000</v>
      </c>
      <c r="H377" s="365">
        <f>SUM(H378:H380)</f>
        <v>9913</v>
      </c>
      <c r="I377" s="299">
        <f>G377-H377</f>
        <v>87</v>
      </c>
      <c r="J377" s="37"/>
      <c r="K377" s="130" t="s">
        <v>116</v>
      </c>
      <c r="L377" s="37"/>
      <c r="M377" s="323">
        <f>Tracking_SI[[#This Row],[Chênh lệch 
(thừa so với ĐH)]]/Tracking_SI[[#This Row],[Số  lượng trên ĐH]]</f>
        <v>8.6999999999999994E-3</v>
      </c>
    </row>
    <row r="378" spans="1:13" ht="21.75" customHeight="1">
      <c r="B378" s="57" t="s">
        <v>120</v>
      </c>
      <c r="D378" s="123">
        <v>46018</v>
      </c>
      <c r="E378" s="355" t="s">
        <v>192</v>
      </c>
      <c r="G378" s="197"/>
      <c r="H378" s="354">
        <v>677</v>
      </c>
      <c r="I378" s="196"/>
      <c r="J378"/>
      <c r="K378" s="196" t="s">
        <v>118</v>
      </c>
      <c r="L378"/>
      <c r="M378" t="e">
        <f>Tracking_SI[[#This Row],[Chênh lệch 
(thừa so với ĐH)]]/Tracking_SI[[#This Row],[Số  lượng trên ĐH]]</f>
        <v>#DIV/0!</v>
      </c>
    </row>
    <row r="379" spans="1:13" ht="21.75" customHeight="1">
      <c r="B379" s="57" t="s">
        <v>120</v>
      </c>
      <c r="D379" s="108">
        <v>46028</v>
      </c>
      <c r="E379" s="355" t="s">
        <v>192</v>
      </c>
      <c r="G379" s="197"/>
      <c r="H379" s="354">
        <v>6152</v>
      </c>
      <c r="I379" s="196"/>
      <c r="J379"/>
      <c r="K379" s="196" t="s">
        <v>118</v>
      </c>
      <c r="L379"/>
      <c r="M379" t="e">
        <f>Tracking_SI[[#This Row],[Chênh lệch 
(thừa so với ĐH)]]/Tracking_SI[[#This Row],[Số  lượng trên ĐH]]</f>
        <v>#DIV/0!</v>
      </c>
    </row>
    <row r="380" spans="1:13" ht="21.75" customHeight="1">
      <c r="A380" s="57"/>
      <c r="B380" s="57" t="s">
        <v>120</v>
      </c>
      <c r="C380" s="49"/>
      <c r="D380" s="108">
        <v>46044</v>
      </c>
      <c r="E380" s="355" t="s">
        <v>192</v>
      </c>
      <c r="F380" s="27"/>
      <c r="G380" s="197"/>
      <c r="H380" s="164">
        <v>3084</v>
      </c>
      <c r="I380" s="189"/>
      <c r="J380" s="37"/>
      <c r="K380" s="196" t="s">
        <v>118</v>
      </c>
      <c r="L380" s="37"/>
      <c r="M380" s="323" t="e">
        <f>Tracking_SI[[#This Row],[Chênh lệch 
(thừa so với ĐH)]]/Tracking_SI[[#This Row],[Số  lượng trên ĐH]]</f>
        <v>#DIV/0!</v>
      </c>
    </row>
    <row r="381" spans="1:13" ht="21.75" customHeight="1">
      <c r="A381" s="57" t="s">
        <v>115</v>
      </c>
      <c r="B381" s="57" t="s">
        <v>120</v>
      </c>
      <c r="C381" s="153"/>
      <c r="D381" s="300">
        <v>46044</v>
      </c>
      <c r="E381" s="304" t="s">
        <v>203</v>
      </c>
      <c r="F381" s="304"/>
      <c r="G381" s="304">
        <v>8000</v>
      </c>
      <c r="H381" s="353">
        <f>SUM(H382:H384)</f>
        <v>8000</v>
      </c>
      <c r="I381" s="304">
        <f>Tracking_SI[[#This Row],[Số  lượng trên ĐH]]-Tracking_SI[[#This Row],[Số  lượng giao]]</f>
        <v>0</v>
      </c>
      <c r="J381" s="37"/>
      <c r="K381" s="139"/>
      <c r="L381" s="37"/>
      <c r="M381" s="326">
        <f>Tracking_SI[[#This Row],[Chênh lệch 
(thừa so với ĐH)]]/Tracking_SI[[#This Row],[Số  lượng trên ĐH]]</f>
        <v>0</v>
      </c>
    </row>
    <row r="382" spans="1:13" ht="21.75" customHeight="1">
      <c r="A382" s="57"/>
      <c r="B382" s="57" t="s">
        <v>120</v>
      </c>
      <c r="C382" s="153"/>
      <c r="D382" s="108">
        <v>46081</v>
      </c>
      <c r="E382" s="364" t="s">
        <v>203</v>
      </c>
      <c r="F382" s="27"/>
      <c r="G382" s="197"/>
      <c r="H382" s="164">
        <v>677</v>
      </c>
      <c r="I382" s="189"/>
      <c r="J382" s="37"/>
      <c r="K382" s="139"/>
      <c r="L382" s="37"/>
      <c r="M382" s="326" t="e">
        <f>Tracking_SI[[#This Row],[Chênh lệch 
(thừa so với ĐH)]]/Tracking_SI[[#This Row],[Số  lượng trên ĐH]]</f>
        <v>#DIV/0!</v>
      </c>
    </row>
    <row r="383" spans="1:13" ht="21.75" customHeight="1">
      <c r="A383" s="57"/>
      <c r="B383" s="57" t="s">
        <v>120</v>
      </c>
      <c r="C383" s="153"/>
      <c r="D383" s="108">
        <v>46085</v>
      </c>
      <c r="E383" s="364" t="s">
        <v>203</v>
      </c>
      <c r="F383" s="27"/>
      <c r="G383" s="197"/>
      <c r="H383" s="31">
        <v>3059</v>
      </c>
      <c r="I383" s="189"/>
      <c r="J383" s="37"/>
      <c r="K383" s="139"/>
      <c r="L383" s="37"/>
      <c r="M383" s="326" t="e">
        <f>Tracking_SI[[#This Row],[Chênh lệch 
(thừa so với ĐH)]]/Tracking_SI[[#This Row],[Số  lượng trên ĐH]]</f>
        <v>#DIV/0!</v>
      </c>
    </row>
    <row r="384" spans="1:13" ht="21.75" customHeight="1">
      <c r="A384" s="57"/>
      <c r="B384" s="57" t="s">
        <v>120</v>
      </c>
      <c r="C384" s="153"/>
      <c r="D384" s="108">
        <v>46104</v>
      </c>
      <c r="E384" s="364" t="s">
        <v>203</v>
      </c>
      <c r="F384" s="27"/>
      <c r="G384" s="197"/>
      <c r="H384" s="26">
        <v>4264</v>
      </c>
      <c r="I384" s="189"/>
      <c r="J384" s="37"/>
      <c r="K384" s="139"/>
      <c r="L384" s="37"/>
      <c r="M384" s="326" t="e">
        <f>Tracking_SI[[#This Row],[Chênh lệch 
(thừa so với ĐH)]]/Tracking_SI[[#This Row],[Số  lượng trên ĐH]]</f>
        <v>#DIV/0!</v>
      </c>
    </row>
    <row r="385" spans="1:13" ht="21.75" customHeight="1">
      <c r="A385" s="57" t="s">
        <v>115</v>
      </c>
      <c r="B385" s="57" t="s">
        <v>120</v>
      </c>
      <c r="C385" s="153"/>
      <c r="D385" s="300">
        <v>46077</v>
      </c>
      <c r="E385" s="304" t="s">
        <v>209</v>
      </c>
      <c r="F385" s="304">
        <v>8000</v>
      </c>
      <c r="G385" s="353">
        <v>10000</v>
      </c>
      <c r="H385" s="304">
        <f>SUM(H386:H391)</f>
        <v>10094</v>
      </c>
      <c r="I385" s="304">
        <f>Tracking_SI[[#This Row],[Số  lượng trên ĐH]]-Tracking_SI[[#This Row],[Số  lượng giao]]</f>
        <v>-94</v>
      </c>
      <c r="J385" s="37"/>
      <c r="K385" s="139"/>
      <c r="L385" s="37"/>
      <c r="M385" s="326">
        <f>Tracking_SI[[#This Row],[Chênh lệch 
(thừa so với ĐH)]]/Tracking_SI[[#This Row],[Số  lượng trên ĐH]]</f>
        <v>-9.4000000000000004E-3</v>
      </c>
    </row>
    <row r="386" spans="1:13" ht="21.75" customHeight="1">
      <c r="A386" s="57"/>
      <c r="B386" s="57" t="s">
        <v>120</v>
      </c>
      <c r="C386" s="153"/>
      <c r="D386" s="108">
        <v>46104</v>
      </c>
      <c r="E386" s="364" t="s">
        <v>209</v>
      </c>
      <c r="F386" s="27"/>
      <c r="G386" s="197"/>
      <c r="H386" s="26">
        <f>7850+1372-H384</f>
        <v>4958</v>
      </c>
      <c r="I386" s="189"/>
      <c r="J386" s="37"/>
      <c r="K386" s="139"/>
      <c r="L386" s="37"/>
      <c r="M386" s="326" t="e">
        <f>Tracking_SI[[#This Row],[Chênh lệch 
(thừa so với ĐH)]]/Tracking_SI[[#This Row],[Số  lượng trên ĐH]]</f>
        <v>#DIV/0!</v>
      </c>
    </row>
    <row r="387" spans="1:13" ht="21.75" customHeight="1">
      <c r="A387" s="57"/>
      <c r="B387" s="57" t="s">
        <v>120</v>
      </c>
      <c r="C387" s="153"/>
      <c r="D387" s="108">
        <v>46107</v>
      </c>
      <c r="E387" s="364" t="s">
        <v>209</v>
      </c>
      <c r="F387" s="27"/>
      <c r="G387" s="197"/>
      <c r="H387" s="26">
        <v>1032</v>
      </c>
      <c r="I387" s="189"/>
      <c r="J387" s="37"/>
      <c r="K387" s="139"/>
      <c r="L387" s="37"/>
      <c r="M387" s="326" t="e">
        <f>Tracking_SI[[#This Row],[Chênh lệch 
(thừa so với ĐH)]]/Tracking_SI[[#This Row],[Số  lượng trên ĐH]]</f>
        <v>#DIV/0!</v>
      </c>
    </row>
    <row r="388" spans="1:13" ht="21.75" customHeight="1">
      <c r="A388" s="57"/>
      <c r="B388" s="57" t="s">
        <v>120</v>
      </c>
      <c r="C388" s="153"/>
      <c r="D388" s="108">
        <v>46113</v>
      </c>
      <c r="E388" s="364" t="s">
        <v>209</v>
      </c>
      <c r="F388" s="27"/>
      <c r="G388" s="197"/>
      <c r="H388" s="26">
        <v>2060</v>
      </c>
      <c r="I388" s="189"/>
      <c r="J388" s="37"/>
      <c r="K388" s="139"/>
      <c r="L388" s="37"/>
      <c r="M388" s="326" t="e">
        <f>Tracking_SI[[#This Row],[Chênh lệch 
(thừa so với ĐH)]]/Tracking_SI[[#This Row],[Số  lượng trên ĐH]]</f>
        <v>#DIV/0!</v>
      </c>
    </row>
    <row r="389" spans="1:13" ht="21.75" customHeight="1">
      <c r="A389" s="57"/>
      <c r="B389" s="57" t="s">
        <v>120</v>
      </c>
      <c r="C389" s="153"/>
      <c r="D389" s="108">
        <v>46118</v>
      </c>
      <c r="E389" s="364" t="s">
        <v>209</v>
      </c>
      <c r="F389" s="27"/>
      <c r="G389" s="197"/>
      <c r="H389" s="31">
        <v>1703</v>
      </c>
      <c r="I389" s="189"/>
      <c r="J389" s="37"/>
      <c r="K389" s="139"/>
      <c r="L389" s="37"/>
      <c r="M389" s="326" t="e">
        <f>Tracking_SI[[#This Row],[Chênh lệch 
(thừa so với ĐH)]]/Tracking_SI[[#This Row],[Số  lượng trên ĐH]]</f>
        <v>#DIV/0!</v>
      </c>
    </row>
    <row r="390" spans="1:13" ht="21.75" customHeight="1">
      <c r="A390" s="57" t="s">
        <v>118</v>
      </c>
      <c r="B390" s="57" t="s">
        <v>120</v>
      </c>
      <c r="C390" s="153"/>
      <c r="D390" s="108">
        <v>46126</v>
      </c>
      <c r="E390" s="364" t="s">
        <v>209</v>
      </c>
      <c r="F390" s="27"/>
      <c r="G390" s="197"/>
      <c r="H390" s="31">
        <v>341</v>
      </c>
      <c r="I390" s="189"/>
      <c r="J390" s="37"/>
      <c r="K390" s="139"/>
      <c r="L390" s="37"/>
      <c r="M390" s="326" t="e">
        <f>Tracking_SI[[#This Row],[Chênh lệch 
(thừa so với ĐH)]]/Tracking_SI[[#This Row],[Số  lượng trên ĐH]]</f>
        <v>#DIV/0!</v>
      </c>
    </row>
    <row r="391" spans="1:13" ht="21.75" customHeight="1">
      <c r="A391" s="57"/>
      <c r="B391" s="57" t="s">
        <v>120</v>
      </c>
      <c r="C391" s="153"/>
      <c r="D391" s="108"/>
      <c r="E391" s="364" t="s">
        <v>209</v>
      </c>
      <c r="F391" s="27"/>
      <c r="G391" s="197"/>
      <c r="H391" s="31"/>
      <c r="I391" s="189"/>
      <c r="J391" s="37"/>
      <c r="K391" s="139"/>
      <c r="L391" s="37"/>
      <c r="M391" s="326" t="e">
        <f>Tracking_SI[[#This Row],[Chênh lệch 
(thừa so với ĐH)]]/Tracking_SI[[#This Row],[Số  lượng trên ĐH]]</f>
        <v>#DIV/0!</v>
      </c>
    </row>
    <row r="392" spans="1:13" ht="21.75" customHeight="1">
      <c r="A392" s="58" t="s">
        <v>106</v>
      </c>
      <c r="B392" s="73" t="s">
        <v>162</v>
      </c>
      <c r="C392" s="74" t="s">
        <v>163</v>
      </c>
      <c r="D392" s="117"/>
      <c r="E392" s="308"/>
      <c r="F392" s="80"/>
      <c r="G392" s="75"/>
      <c r="H392" s="352"/>
      <c r="I392" s="204"/>
      <c r="J392" s="78"/>
      <c r="K392" s="137"/>
      <c r="L392" s="77"/>
      <c r="M392" s="323" t="e">
        <f>Tracking_SI[[#This Row],[Chênh lệch 
(thừa so với ĐH)]]/Tracking_SI[[#This Row],[Số  lượng trên ĐH]]</f>
        <v>#DIV/0!</v>
      </c>
    </row>
    <row r="393" spans="1:13" ht="21.75" customHeight="1">
      <c r="A393" s="58" t="s">
        <v>115</v>
      </c>
      <c r="B393" s="57" t="s">
        <v>162</v>
      </c>
      <c r="C393" s="48"/>
      <c r="D393" s="183">
        <v>45345</v>
      </c>
      <c r="E393" s="30" t="s">
        <v>49</v>
      </c>
      <c r="F393" s="28" t="s">
        <v>8</v>
      </c>
      <c r="G393" s="149">
        <v>4836</v>
      </c>
      <c r="H393" s="179">
        <f>SUM(H394:H394)</f>
        <v>4739</v>
      </c>
      <c r="I393" s="200">
        <f>G393-H393</f>
        <v>97</v>
      </c>
      <c r="J393" s="149">
        <v>35700</v>
      </c>
      <c r="K393" s="195" t="s">
        <v>116</v>
      </c>
      <c r="L393" s="24"/>
      <c r="M393" s="323">
        <f>Tracking_SI[[#This Row],[Chênh lệch 
(thừa so với ĐH)]]/Tracking_SI[[#This Row],[Số  lượng trên ĐH]]</f>
        <v>2.0057899090157153E-2</v>
      </c>
    </row>
    <row r="394" spans="1:13" ht="21.75" customHeight="1">
      <c r="A394" s="57"/>
      <c r="B394" s="57" t="s">
        <v>162</v>
      </c>
      <c r="C394" s="48"/>
      <c r="D394" s="116">
        <v>45660</v>
      </c>
      <c r="F394" s="25"/>
      <c r="G394" s="30"/>
      <c r="H394" s="177">
        <v>4739</v>
      </c>
      <c r="I394" s="187"/>
      <c r="J394" s="37"/>
      <c r="K394" s="127" t="s">
        <v>118</v>
      </c>
      <c r="L394" s="37"/>
      <c r="M394" s="323" t="e">
        <f>Tracking_SI[[#This Row],[Chênh lệch 
(thừa so với ĐH)]]/Tracking_SI[[#This Row],[Số  lượng trên ĐH]]</f>
        <v>#DIV/0!</v>
      </c>
    </row>
    <row r="395" spans="1:13" ht="21.75" customHeight="1">
      <c r="A395" s="58" t="s">
        <v>115</v>
      </c>
      <c r="B395" s="57" t="s">
        <v>162</v>
      </c>
      <c r="C395" s="48"/>
      <c r="D395" s="183">
        <v>45659</v>
      </c>
      <c r="E395" s="30" t="s">
        <v>39</v>
      </c>
      <c r="F395" s="28" t="s">
        <v>8</v>
      </c>
      <c r="G395" s="149">
        <v>13000</v>
      </c>
      <c r="H395" s="179">
        <f>SUM(H396:H397)</f>
        <v>13491</v>
      </c>
      <c r="I395" s="200">
        <f>G395-H395</f>
        <v>-491</v>
      </c>
      <c r="J395" s="150">
        <v>36100</v>
      </c>
      <c r="K395" s="195" t="s">
        <v>116</v>
      </c>
      <c r="L395" s="38"/>
      <c r="M395" s="323">
        <f>Tracking_SI[[#This Row],[Chênh lệch 
(thừa so với ĐH)]]/Tracking_SI[[#This Row],[Số  lượng trên ĐH]]</f>
        <v>-3.776923076923077E-2</v>
      </c>
    </row>
    <row r="396" spans="1:13" ht="21.75" customHeight="1">
      <c r="A396" s="57"/>
      <c r="B396" s="57" t="s">
        <v>162</v>
      </c>
      <c r="C396" s="48"/>
      <c r="D396" s="116">
        <v>45664</v>
      </c>
      <c r="F396" s="25"/>
      <c r="G396" s="31"/>
      <c r="H396" s="177">
        <v>2179</v>
      </c>
      <c r="I396" s="189"/>
      <c r="J396" s="37"/>
      <c r="K396" s="127" t="s">
        <v>118</v>
      </c>
      <c r="L396" s="37"/>
      <c r="M396" s="323" t="e">
        <f>Tracking_SI[[#This Row],[Chênh lệch 
(thừa so với ĐH)]]/Tracking_SI[[#This Row],[Số  lượng trên ĐH]]</f>
        <v>#DIV/0!</v>
      </c>
    </row>
    <row r="397" spans="1:13" ht="21.75" customHeight="1">
      <c r="A397" s="57"/>
      <c r="B397" s="57" t="s">
        <v>162</v>
      </c>
      <c r="C397" s="48"/>
      <c r="D397" s="116">
        <v>45675</v>
      </c>
      <c r="F397" s="25"/>
      <c r="G397" s="31"/>
      <c r="H397" s="177">
        <v>11312</v>
      </c>
      <c r="I397" s="186"/>
      <c r="J397" s="37"/>
      <c r="K397" s="127" t="s">
        <v>118</v>
      </c>
      <c r="L397" s="37"/>
      <c r="M397" s="323" t="e">
        <f>Tracking_SI[[#This Row],[Chênh lệch 
(thừa so với ĐH)]]/Tracking_SI[[#This Row],[Số  lượng trên ĐH]]</f>
        <v>#DIV/0!</v>
      </c>
    </row>
    <row r="398" spans="1:13" ht="21.75" customHeight="1">
      <c r="A398" s="58" t="s">
        <v>115</v>
      </c>
      <c r="B398" s="57" t="s">
        <v>162</v>
      </c>
      <c r="C398" s="48"/>
      <c r="D398" s="111">
        <v>45692</v>
      </c>
      <c r="E398" s="309" t="s">
        <v>40</v>
      </c>
      <c r="F398" s="25" t="s">
        <v>21</v>
      </c>
      <c r="G398" s="24">
        <v>15000</v>
      </c>
      <c r="H398" s="163">
        <f>SUM(H399:H405)</f>
        <v>15344</v>
      </c>
      <c r="I398" s="191">
        <f>G398-H398</f>
        <v>-344</v>
      </c>
      <c r="J398" s="38">
        <v>36100</v>
      </c>
      <c r="K398" s="138" t="s">
        <v>116</v>
      </c>
      <c r="L398" s="38"/>
      <c r="M398" s="323">
        <f>Tracking_SI[[#This Row],[Chênh lệch 
(thừa so với ĐH)]]/Tracking_SI[[#This Row],[Số  lượng trên ĐH]]</f>
        <v>-2.2933333333333333E-2</v>
      </c>
    </row>
    <row r="399" spans="1:13" ht="21.75" customHeight="1">
      <c r="A399" s="57"/>
      <c r="B399" s="57" t="s">
        <v>162</v>
      </c>
      <c r="C399" s="48"/>
      <c r="D399" s="108">
        <v>45699</v>
      </c>
      <c r="E399" s="30" t="s">
        <v>40</v>
      </c>
      <c r="F399" s="56"/>
      <c r="G399" s="26"/>
      <c r="H399" s="164">
        <v>2179</v>
      </c>
      <c r="I399" s="189"/>
      <c r="J399" s="37"/>
      <c r="K399" s="196" t="s">
        <v>118</v>
      </c>
      <c r="L399" s="37"/>
      <c r="M399" s="323" t="e">
        <f>Tracking_SI[[#This Row],[Chênh lệch 
(thừa so với ĐH)]]/Tracking_SI[[#This Row],[Số  lượng trên ĐH]]</f>
        <v>#DIV/0!</v>
      </c>
    </row>
    <row r="400" spans="1:13" ht="21.75" customHeight="1">
      <c r="A400" s="57"/>
      <c r="B400" s="57" t="s">
        <v>162</v>
      </c>
      <c r="C400" s="48"/>
      <c r="D400" s="108">
        <v>45701</v>
      </c>
      <c r="E400" s="30" t="s">
        <v>40</v>
      </c>
      <c r="F400" s="56"/>
      <c r="G400" s="26"/>
      <c r="H400" s="164">
        <v>728</v>
      </c>
      <c r="I400" s="189"/>
      <c r="J400" s="37"/>
      <c r="K400" s="196" t="s">
        <v>118</v>
      </c>
      <c r="L400" s="37"/>
      <c r="M400" s="323" t="e">
        <f>Tracking_SI[[#This Row],[Chênh lệch 
(thừa so với ĐH)]]/Tracking_SI[[#This Row],[Số  lượng trên ĐH]]</f>
        <v>#DIV/0!</v>
      </c>
    </row>
    <row r="401" spans="1:13" ht="21.75" customHeight="1">
      <c r="A401" s="57"/>
      <c r="B401" s="57" t="s">
        <v>162</v>
      </c>
      <c r="C401" s="48"/>
      <c r="D401" s="108">
        <v>45703</v>
      </c>
      <c r="E401" s="30" t="s">
        <v>40</v>
      </c>
      <c r="F401" s="56"/>
      <c r="G401" s="26"/>
      <c r="H401" s="164">
        <v>1470</v>
      </c>
      <c r="I401" s="189"/>
      <c r="J401" s="37"/>
      <c r="K401" s="196" t="s">
        <v>118</v>
      </c>
      <c r="L401" s="37"/>
      <c r="M401" s="323" t="e">
        <f>Tracking_SI[[#This Row],[Chênh lệch 
(thừa so với ĐH)]]/Tracking_SI[[#This Row],[Số  lượng trên ĐH]]</f>
        <v>#DIV/0!</v>
      </c>
    </row>
    <row r="402" spans="1:13" ht="21.75" customHeight="1">
      <c r="A402" s="57"/>
      <c r="B402" s="57" t="s">
        <v>162</v>
      </c>
      <c r="C402" s="48"/>
      <c r="D402" s="108">
        <v>45708</v>
      </c>
      <c r="E402" s="30" t="s">
        <v>40</v>
      </c>
      <c r="F402" s="56"/>
      <c r="G402" s="26"/>
      <c r="H402" s="164">
        <v>2189</v>
      </c>
      <c r="I402" s="189"/>
      <c r="J402" s="37"/>
      <c r="K402" s="196" t="s">
        <v>118</v>
      </c>
      <c r="L402" s="37"/>
      <c r="M402" s="323" t="e">
        <f>Tracking_SI[[#This Row],[Chênh lệch 
(thừa so với ĐH)]]/Tracking_SI[[#This Row],[Số  lượng trên ĐH]]</f>
        <v>#DIV/0!</v>
      </c>
    </row>
    <row r="403" spans="1:13" ht="21.75" customHeight="1">
      <c r="A403" s="57"/>
      <c r="B403" s="57" t="s">
        <v>162</v>
      </c>
      <c r="C403" s="48"/>
      <c r="D403" s="108">
        <v>45729</v>
      </c>
      <c r="E403" s="30" t="s">
        <v>40</v>
      </c>
      <c r="F403" s="56"/>
      <c r="G403" s="26"/>
      <c r="H403" s="164">
        <v>3301</v>
      </c>
      <c r="I403" s="187"/>
      <c r="J403" s="37"/>
      <c r="K403" s="196" t="s">
        <v>118</v>
      </c>
      <c r="L403" s="37"/>
      <c r="M403" s="323" t="e">
        <f>Tracking_SI[[#This Row],[Chênh lệch 
(thừa so với ĐH)]]/Tracking_SI[[#This Row],[Số  lượng trên ĐH]]</f>
        <v>#DIV/0!</v>
      </c>
    </row>
    <row r="404" spans="1:13" ht="21.75" customHeight="1">
      <c r="A404" s="57"/>
      <c r="B404" s="57" t="s">
        <v>162</v>
      </c>
      <c r="C404" s="48"/>
      <c r="D404" s="108">
        <v>45752</v>
      </c>
      <c r="E404" s="30" t="s">
        <v>40</v>
      </c>
      <c r="F404" s="56"/>
      <c r="G404" s="26"/>
      <c r="H404" s="164">
        <v>2922</v>
      </c>
      <c r="I404" s="187"/>
      <c r="J404" s="37"/>
      <c r="K404" s="196" t="s">
        <v>118</v>
      </c>
      <c r="L404" s="37"/>
      <c r="M404" s="323" t="e">
        <f>Tracking_SI[[#This Row],[Chênh lệch 
(thừa so với ĐH)]]/Tracking_SI[[#This Row],[Số  lượng trên ĐH]]</f>
        <v>#DIV/0!</v>
      </c>
    </row>
    <row r="405" spans="1:13" ht="21.75" customHeight="1">
      <c r="A405" s="57"/>
      <c r="B405" s="57" t="s">
        <v>162</v>
      </c>
      <c r="C405" s="48"/>
      <c r="D405" s="116">
        <v>45848</v>
      </c>
      <c r="E405" s="30" t="s">
        <v>40</v>
      </c>
      <c r="F405" s="56"/>
      <c r="G405" s="26"/>
      <c r="H405" s="164">
        <v>2555</v>
      </c>
      <c r="I405" s="187"/>
      <c r="J405" s="37"/>
      <c r="K405" s="196" t="s">
        <v>118</v>
      </c>
      <c r="L405" s="37"/>
      <c r="M405" s="323" t="e">
        <f>Tracking_SI[[#This Row],[Chênh lệch 
(thừa so với ĐH)]]/Tracking_SI[[#This Row],[Số  lượng trên ĐH]]</f>
        <v>#DIV/0!</v>
      </c>
    </row>
    <row r="406" spans="1:13" ht="21.75" customHeight="1">
      <c r="A406" s="57" t="s">
        <v>115</v>
      </c>
      <c r="B406" s="57" t="s">
        <v>162</v>
      </c>
      <c r="C406" s="48"/>
      <c r="D406" s="300">
        <v>45862</v>
      </c>
      <c r="E406" s="301" t="s">
        <v>169</v>
      </c>
      <c r="F406" s="56"/>
      <c r="G406" s="302">
        <v>12000</v>
      </c>
      <c r="H406" s="315">
        <f>SUM(H407:H410)</f>
        <v>11938</v>
      </c>
      <c r="I406" s="316">
        <f>Tracking_SI[[#This Row],[Số  lượng trên ĐH]]-Tracking_SI[[#This Row],[Số  lượng giao]]</f>
        <v>62</v>
      </c>
      <c r="J406" s="305"/>
      <c r="K406" s="138"/>
      <c r="L406" s="37"/>
      <c r="M406" s="323">
        <f>Tracking_SI[[#This Row],[Chênh lệch 
(thừa so với ĐH)]]/Tracking_SI[[#This Row],[Số  lượng trên ĐH]]</f>
        <v>5.1666666666666666E-3</v>
      </c>
    </row>
    <row r="407" spans="1:13" ht="21.75" customHeight="1">
      <c r="A407" s="57"/>
      <c r="B407" s="57" t="s">
        <v>162</v>
      </c>
      <c r="C407" s="48"/>
      <c r="D407" s="116">
        <v>45884</v>
      </c>
      <c r="E407" s="30" t="s">
        <v>169</v>
      </c>
      <c r="F407" s="56"/>
      <c r="G407" s="26"/>
      <c r="H407" s="164">
        <v>5444</v>
      </c>
      <c r="I407" s="187"/>
      <c r="J407" s="37"/>
      <c r="K407" s="133" t="s">
        <v>118</v>
      </c>
      <c r="L407" s="37"/>
      <c r="M407" s="323" t="e">
        <f>Tracking_SI[[#This Row],[Chênh lệch 
(thừa so với ĐH)]]/Tracking_SI[[#This Row],[Số  lượng trên ĐH]]</f>
        <v>#DIV/0!</v>
      </c>
    </row>
    <row r="408" spans="1:13" ht="21.75" customHeight="1">
      <c r="A408" s="57"/>
      <c r="B408" s="57" t="s">
        <v>162</v>
      </c>
      <c r="C408" s="48"/>
      <c r="D408" s="116">
        <v>45892</v>
      </c>
      <c r="E408" s="30" t="s">
        <v>169</v>
      </c>
      <c r="F408" s="56"/>
      <c r="G408" s="26"/>
      <c r="H408" s="164">
        <v>2880</v>
      </c>
      <c r="I408" s="187"/>
      <c r="J408" s="37"/>
      <c r="K408" s="139" t="s">
        <v>118</v>
      </c>
      <c r="L408" s="37"/>
      <c r="M408" s="323" t="e">
        <f>Tracking_SI[[#This Row],[Chênh lệch 
(thừa so với ĐH)]]/Tracking_SI[[#This Row],[Số  lượng trên ĐH]]</f>
        <v>#DIV/0!</v>
      </c>
    </row>
    <row r="409" spans="1:13" ht="21.75" customHeight="1">
      <c r="A409" s="57"/>
      <c r="B409" s="57" t="s">
        <v>162</v>
      </c>
      <c r="C409" s="152"/>
      <c r="D409" s="116">
        <v>45976</v>
      </c>
      <c r="E409" s="30" t="s">
        <v>169</v>
      </c>
      <c r="F409" s="25"/>
      <c r="G409" s="31"/>
      <c r="H409" s="166">
        <v>3614</v>
      </c>
      <c r="I409" s="187"/>
      <c r="J409" s="37"/>
      <c r="K409" s="139"/>
      <c r="L409" s="37"/>
      <c r="M409" s="326" t="e">
        <f>Tracking_SI[[#This Row],[Chênh lệch 
(thừa so với ĐH)]]/Tracking_SI[[#This Row],[Số  lượng trên ĐH]]</f>
        <v>#DIV/0!</v>
      </c>
    </row>
    <row r="410" spans="1:13" ht="21.75" customHeight="1">
      <c r="A410" s="57"/>
      <c r="B410" s="57" t="s">
        <v>162</v>
      </c>
      <c r="C410" s="152"/>
      <c r="D410" s="116"/>
      <c r="F410" s="30"/>
      <c r="G410" s="30"/>
      <c r="H410" s="239"/>
      <c r="I410" s="187"/>
      <c r="J410" s="37"/>
      <c r="K410" s="139"/>
      <c r="L410" s="37"/>
      <c r="M410" s="323" t="e">
        <f>Tracking_SI[[#This Row],[Chênh lệch 
(thừa so với ĐH)]]/Tracking_SI[[#This Row],[Số  lượng trên ĐH]]</f>
        <v>#DIV/0!</v>
      </c>
    </row>
    <row r="411" spans="1:13" ht="21.75" customHeight="1">
      <c r="A411" s="58" t="s">
        <v>106</v>
      </c>
      <c r="B411" s="73" t="s">
        <v>50</v>
      </c>
      <c r="C411" s="74" t="s">
        <v>111</v>
      </c>
      <c r="D411" s="117"/>
      <c r="E411" s="308"/>
      <c r="F411" s="75"/>
      <c r="G411" s="75"/>
      <c r="H411" s="553"/>
      <c r="I411" s="204"/>
      <c r="J411" s="78"/>
      <c r="K411" s="137"/>
      <c r="L411" s="77"/>
      <c r="M411" s="323" t="e">
        <f>Tracking_SI[[#This Row],[Chênh lệch 
(thừa so với ĐH)]]/Tracking_SI[[#This Row],[Số  lượng trên ĐH]]</f>
        <v>#DIV/0!</v>
      </c>
    </row>
    <row r="412" spans="1:13" ht="21.75" customHeight="1">
      <c r="A412" s="58" t="s">
        <v>115</v>
      </c>
      <c r="B412" s="57" t="s">
        <v>50</v>
      </c>
      <c r="C412" s="110"/>
      <c r="D412" s="183">
        <v>45609</v>
      </c>
      <c r="E412" s="30" t="s">
        <v>51</v>
      </c>
      <c r="F412" s="28" t="s">
        <v>8</v>
      </c>
      <c r="G412" s="149">
        <v>13010</v>
      </c>
      <c r="H412" s="172">
        <f>SUM(H413:H416)</f>
        <v>13010</v>
      </c>
      <c r="I412" s="199">
        <f>G412-H412</f>
        <v>0</v>
      </c>
      <c r="J412" s="150">
        <v>34900</v>
      </c>
      <c r="K412" s="195" t="s">
        <v>116</v>
      </c>
      <c r="L412" s="36"/>
      <c r="M412" s="323">
        <f>Tracking_SI[[#This Row],[Chênh lệch 
(thừa so với ĐH)]]/Tracking_SI[[#This Row],[Số  lượng trên ĐH]]</f>
        <v>0</v>
      </c>
    </row>
    <row r="413" spans="1:13" ht="21.75" customHeight="1">
      <c r="A413" s="57"/>
      <c r="B413" s="57" t="s">
        <v>50</v>
      </c>
      <c r="C413" s="110"/>
      <c r="D413" s="116">
        <v>45667</v>
      </c>
      <c r="F413" s="25"/>
      <c r="G413" s="30"/>
      <c r="H413" s="169">
        <v>4057</v>
      </c>
      <c r="I413" s="186"/>
      <c r="J413" s="37">
        <v>32796</v>
      </c>
      <c r="K413" s="138" t="s">
        <v>118</v>
      </c>
      <c r="L413" s="1" t="s">
        <v>52</v>
      </c>
      <c r="M413" s="323" t="e">
        <f>Tracking_SI[[#This Row],[Chênh lệch 
(thừa so với ĐH)]]/Tracking_SI[[#This Row],[Số  lượng trên ĐH]]</f>
        <v>#DIV/0!</v>
      </c>
    </row>
    <row r="414" spans="1:13" ht="21.75" customHeight="1">
      <c r="A414" s="57"/>
      <c r="B414" s="57" t="s">
        <v>50</v>
      </c>
      <c r="C414" s="110"/>
      <c r="D414" s="116">
        <v>45679</v>
      </c>
      <c r="F414" s="25"/>
      <c r="G414" s="30"/>
      <c r="H414" s="169">
        <v>2969</v>
      </c>
      <c r="I414" s="189"/>
      <c r="J414" s="37"/>
      <c r="K414" s="138" t="s">
        <v>118</v>
      </c>
      <c r="L414" s="37"/>
      <c r="M414" s="323" t="e">
        <f>Tracking_SI[[#This Row],[Chênh lệch 
(thừa so với ĐH)]]/Tracking_SI[[#This Row],[Số  lượng trên ĐH]]</f>
        <v>#DIV/0!</v>
      </c>
    </row>
    <row r="415" spans="1:13" ht="25.5" customHeight="1">
      <c r="A415" s="57"/>
      <c r="B415" s="57" t="s">
        <v>50</v>
      </c>
      <c r="C415" s="110"/>
      <c r="D415" s="116">
        <v>45681</v>
      </c>
      <c r="F415" s="25"/>
      <c r="G415" s="30"/>
      <c r="H415" s="169">
        <v>2147</v>
      </c>
      <c r="I415" s="189"/>
      <c r="J415" s="37"/>
      <c r="K415" s="138" t="s">
        <v>118</v>
      </c>
      <c r="L415" s="37"/>
      <c r="M415" s="323" t="e">
        <f>Tracking_SI[[#This Row],[Chênh lệch 
(thừa so với ĐH)]]/Tracking_SI[[#This Row],[Số  lượng trên ĐH]]</f>
        <v>#DIV/0!</v>
      </c>
    </row>
    <row r="416" spans="1:13" ht="21.75" customHeight="1">
      <c r="A416" s="57"/>
      <c r="B416" s="57" t="s">
        <v>50</v>
      </c>
      <c r="C416" s="110"/>
      <c r="D416" s="116">
        <v>45693</v>
      </c>
      <c r="F416" s="25"/>
      <c r="G416" s="30"/>
      <c r="H416" s="169">
        <v>3837</v>
      </c>
      <c r="I416" s="189"/>
      <c r="J416" s="37"/>
      <c r="K416" s="138" t="s">
        <v>118</v>
      </c>
      <c r="L416" s="37"/>
      <c r="M416" s="323" t="e">
        <f>Tracking_SI[[#This Row],[Chênh lệch 
(thừa so với ĐH)]]/Tracking_SI[[#This Row],[Số  lượng trên ĐH]]</f>
        <v>#DIV/0!</v>
      </c>
    </row>
    <row r="417" spans="1:13" ht="21.75" customHeight="1">
      <c r="A417" s="58" t="s">
        <v>115</v>
      </c>
      <c r="B417" s="57" t="s">
        <v>50</v>
      </c>
      <c r="C417" s="110"/>
      <c r="D417" s="183">
        <v>45670</v>
      </c>
      <c r="E417" s="30" t="s">
        <v>53</v>
      </c>
      <c r="F417" s="28" t="s">
        <v>8</v>
      </c>
      <c r="G417" s="149">
        <v>12000</v>
      </c>
      <c r="H417" s="172">
        <f>SUM(H418:H425)</f>
        <v>12000</v>
      </c>
      <c r="I417" s="199">
        <f>G417-H417</f>
        <v>0</v>
      </c>
      <c r="J417" s="150">
        <v>35900</v>
      </c>
      <c r="K417" s="195" t="s">
        <v>116</v>
      </c>
      <c r="L417" s="36"/>
      <c r="M417" s="323">
        <f>Tracking_SI[[#This Row],[Chênh lệch 
(thừa so với ĐH)]]/Tracking_SI[[#This Row],[Số  lượng trên ĐH]]</f>
        <v>0</v>
      </c>
    </row>
    <row r="418" spans="1:13" ht="21.75" customHeight="1">
      <c r="A418" s="57"/>
      <c r="B418" s="57" t="s">
        <v>50</v>
      </c>
      <c r="C418" s="110"/>
      <c r="D418" s="116">
        <v>45693</v>
      </c>
      <c r="F418" s="25"/>
      <c r="G418" s="31"/>
      <c r="H418" s="166">
        <f>5426-H416</f>
        <v>1589</v>
      </c>
      <c r="I418" s="187"/>
      <c r="J418" s="37"/>
      <c r="K418" s="138" t="s">
        <v>118</v>
      </c>
      <c r="L418" s="37"/>
      <c r="M418" s="323" t="e">
        <f>Tracking_SI[[#This Row],[Chênh lệch 
(thừa so với ĐH)]]/Tracking_SI[[#This Row],[Số  lượng trên ĐH]]</f>
        <v>#DIV/0!</v>
      </c>
    </row>
    <row r="419" spans="1:13" ht="21.75" customHeight="1">
      <c r="A419" s="57"/>
      <c r="B419" s="57" t="s">
        <v>50</v>
      </c>
      <c r="C419" s="110"/>
      <c r="D419" s="108">
        <v>45698</v>
      </c>
      <c r="F419" s="27"/>
      <c r="G419" s="26"/>
      <c r="H419" s="164">
        <v>1598</v>
      </c>
      <c r="I419" s="187"/>
      <c r="J419" s="37"/>
      <c r="K419" s="138" t="s">
        <v>118</v>
      </c>
      <c r="L419" s="37"/>
      <c r="M419" s="323" t="e">
        <f>Tracking_SI[[#This Row],[Chênh lệch 
(thừa so với ĐH)]]/Tracking_SI[[#This Row],[Số  lượng trên ĐH]]</f>
        <v>#DIV/0!</v>
      </c>
    </row>
    <row r="420" spans="1:13" ht="21.75" customHeight="1">
      <c r="A420" s="57"/>
      <c r="B420" s="57" t="s">
        <v>50</v>
      </c>
      <c r="C420" s="110"/>
      <c r="D420" s="108">
        <v>45701</v>
      </c>
      <c r="F420" s="27"/>
      <c r="G420" s="26"/>
      <c r="H420" s="164">
        <v>2672</v>
      </c>
      <c r="I420" s="187"/>
      <c r="J420" s="37"/>
      <c r="K420" s="138" t="s">
        <v>118</v>
      </c>
      <c r="L420" s="37"/>
      <c r="M420" s="323" t="e">
        <f>Tracking_SI[[#This Row],[Chênh lệch 
(thừa so với ĐH)]]/Tracking_SI[[#This Row],[Số  lượng trên ĐH]]</f>
        <v>#DIV/0!</v>
      </c>
    </row>
    <row r="421" spans="1:13" ht="21.75" customHeight="1">
      <c r="A421" s="57"/>
      <c r="B421" s="57" t="s">
        <v>50</v>
      </c>
      <c r="C421" s="110"/>
      <c r="D421" s="108">
        <v>45703</v>
      </c>
      <c r="F421" s="27"/>
      <c r="G421" s="26"/>
      <c r="H421" s="164">
        <v>1080</v>
      </c>
      <c r="I421" s="189"/>
      <c r="J421" s="37"/>
      <c r="K421" s="138" t="s">
        <v>118</v>
      </c>
      <c r="L421" s="37"/>
      <c r="M421" s="323" t="e">
        <f>Tracking_SI[[#This Row],[Chênh lệch 
(thừa so với ĐH)]]/Tracking_SI[[#This Row],[Số  lượng trên ĐH]]</f>
        <v>#DIV/0!</v>
      </c>
    </row>
    <row r="422" spans="1:13" ht="21.75" customHeight="1">
      <c r="A422" s="57"/>
      <c r="B422" s="57" t="s">
        <v>50</v>
      </c>
      <c r="C422" s="110"/>
      <c r="D422" s="108">
        <v>45706</v>
      </c>
      <c r="F422" s="27"/>
      <c r="G422" s="26"/>
      <c r="H422" s="164">
        <v>1618</v>
      </c>
      <c r="I422" s="186"/>
      <c r="J422" s="37"/>
      <c r="K422" s="138" t="s">
        <v>118</v>
      </c>
      <c r="L422" s="37"/>
      <c r="M422" s="323" t="e">
        <f>Tracking_SI[[#This Row],[Chênh lệch 
(thừa so với ĐH)]]/Tracking_SI[[#This Row],[Số  lượng trên ĐH]]</f>
        <v>#DIV/0!</v>
      </c>
    </row>
    <row r="423" spans="1:13" ht="21.75" customHeight="1">
      <c r="A423" s="57"/>
      <c r="B423" s="57" t="s">
        <v>50</v>
      </c>
      <c r="C423" s="110"/>
      <c r="D423" s="108">
        <v>45712</v>
      </c>
      <c r="F423" s="27"/>
      <c r="G423" s="26"/>
      <c r="H423" s="164">
        <v>1610</v>
      </c>
      <c r="I423" s="186"/>
      <c r="J423" s="37"/>
      <c r="K423" s="138" t="s">
        <v>118</v>
      </c>
      <c r="L423" s="37"/>
      <c r="M423" s="323" t="e">
        <f>Tracking_SI[[#This Row],[Chênh lệch 
(thừa so với ĐH)]]/Tracking_SI[[#This Row],[Số  lượng trên ĐH]]</f>
        <v>#DIV/0!</v>
      </c>
    </row>
    <row r="424" spans="1:13" ht="21.75" customHeight="1">
      <c r="A424" s="57"/>
      <c r="B424" s="57" t="s">
        <v>50</v>
      </c>
      <c r="C424" s="110"/>
      <c r="D424" s="108">
        <v>45713</v>
      </c>
      <c r="F424" s="27"/>
      <c r="G424" s="26"/>
      <c r="H424" s="164">
        <v>1618</v>
      </c>
      <c r="I424" s="189"/>
      <c r="J424" s="37"/>
      <c r="K424" s="138" t="s">
        <v>118</v>
      </c>
      <c r="L424" s="37"/>
      <c r="M424" s="323" t="e">
        <f>Tracking_SI[[#This Row],[Chênh lệch 
(thừa so với ĐH)]]/Tracking_SI[[#This Row],[Số  lượng trên ĐH]]</f>
        <v>#DIV/0!</v>
      </c>
    </row>
    <row r="425" spans="1:13" ht="21.75" customHeight="1">
      <c r="A425" s="57"/>
      <c r="B425" s="57" t="s">
        <v>50</v>
      </c>
      <c r="C425" s="110"/>
      <c r="D425" s="108">
        <v>45716</v>
      </c>
      <c r="F425" s="27"/>
      <c r="G425" s="26"/>
      <c r="H425" s="164">
        <v>215</v>
      </c>
      <c r="I425" s="189"/>
      <c r="J425" s="37"/>
      <c r="K425" s="138" t="s">
        <v>118</v>
      </c>
      <c r="L425" s="37"/>
      <c r="M425" s="323" t="e">
        <f>Tracking_SI[[#This Row],[Chênh lệch 
(thừa so với ĐH)]]/Tracking_SI[[#This Row],[Số  lượng trên ĐH]]</f>
        <v>#DIV/0!</v>
      </c>
    </row>
    <row r="426" spans="1:13" ht="21.75" customHeight="1">
      <c r="A426" s="58" t="s">
        <v>115</v>
      </c>
      <c r="B426" s="57" t="s">
        <v>50</v>
      </c>
      <c r="C426" s="110"/>
      <c r="D426" s="183">
        <v>45692</v>
      </c>
      <c r="E426" s="30" t="s">
        <v>40</v>
      </c>
      <c r="F426" s="28" t="s">
        <v>21</v>
      </c>
      <c r="G426" s="149">
        <v>10000</v>
      </c>
      <c r="H426" s="172">
        <f>SUM(H427:H431)</f>
        <v>10000</v>
      </c>
      <c r="I426" s="199">
        <f>G426-H426</f>
        <v>0</v>
      </c>
      <c r="J426" s="150">
        <v>35900</v>
      </c>
      <c r="K426" s="195" t="s">
        <v>116</v>
      </c>
      <c r="L426" s="36"/>
      <c r="M426" s="323">
        <f>Tracking_SI[[#This Row],[Chênh lệch 
(thừa so với ĐH)]]/Tracking_SI[[#This Row],[Số  lượng trên ĐH]]</f>
        <v>0</v>
      </c>
    </row>
    <row r="427" spans="1:13" ht="21.75" customHeight="1">
      <c r="A427" s="57"/>
      <c r="B427" s="57" t="s">
        <v>50</v>
      </c>
      <c r="C427" s="110"/>
      <c r="D427" s="116">
        <v>45716</v>
      </c>
      <c r="F427" s="25"/>
      <c r="G427" s="31"/>
      <c r="H427" s="166">
        <v>1946</v>
      </c>
      <c r="I427" s="189"/>
      <c r="J427" s="37"/>
      <c r="K427" s="138" t="s">
        <v>118</v>
      </c>
      <c r="L427" s="37"/>
      <c r="M427" s="323" t="e">
        <f>Tracking_SI[[#This Row],[Chênh lệch 
(thừa so với ĐH)]]/Tracking_SI[[#This Row],[Số  lượng trên ĐH]]</f>
        <v>#DIV/0!</v>
      </c>
    </row>
    <row r="428" spans="1:13" ht="21.75" customHeight="1">
      <c r="A428" s="57"/>
      <c r="B428" s="57" t="s">
        <v>50</v>
      </c>
      <c r="C428" s="110"/>
      <c r="D428" s="116">
        <v>45719</v>
      </c>
      <c r="F428" s="25"/>
      <c r="G428" s="31"/>
      <c r="H428" s="166">
        <v>812</v>
      </c>
      <c r="I428" s="187"/>
      <c r="J428" s="37"/>
      <c r="K428" s="138" t="s">
        <v>118</v>
      </c>
      <c r="L428" s="37"/>
      <c r="M428" s="323" t="e">
        <f>Tracking_SI[[#This Row],[Chênh lệch 
(thừa so với ĐH)]]/Tracking_SI[[#This Row],[Số  lượng trên ĐH]]</f>
        <v>#DIV/0!</v>
      </c>
    </row>
    <row r="429" spans="1:13" ht="21.75" customHeight="1">
      <c r="A429" s="57"/>
      <c r="B429" s="57" t="s">
        <v>50</v>
      </c>
      <c r="C429" s="110"/>
      <c r="D429" s="116">
        <v>45729</v>
      </c>
      <c r="F429" s="25"/>
      <c r="G429" s="31"/>
      <c r="H429" s="166">
        <v>4832</v>
      </c>
      <c r="I429" s="187"/>
      <c r="J429" s="37"/>
      <c r="K429" s="138" t="s">
        <v>118</v>
      </c>
      <c r="L429" s="37"/>
      <c r="M429" s="323" t="e">
        <f>Tracking_SI[[#This Row],[Chênh lệch 
(thừa so với ĐH)]]/Tracking_SI[[#This Row],[Số  lượng trên ĐH]]</f>
        <v>#DIV/0!</v>
      </c>
    </row>
    <row r="430" spans="1:13" ht="21.75" customHeight="1">
      <c r="A430" s="57"/>
      <c r="B430" s="57" t="s">
        <v>50</v>
      </c>
      <c r="C430" s="110"/>
      <c r="D430" s="116">
        <v>45731</v>
      </c>
      <c r="F430" s="25"/>
      <c r="G430" s="31"/>
      <c r="H430" s="166">
        <v>1079</v>
      </c>
      <c r="I430" s="187"/>
      <c r="J430" s="37"/>
      <c r="K430" s="138" t="s">
        <v>118</v>
      </c>
      <c r="L430" s="37"/>
      <c r="M430" s="323" t="e">
        <f>Tracking_SI[[#This Row],[Chênh lệch 
(thừa so với ĐH)]]/Tracking_SI[[#This Row],[Số  lượng trên ĐH]]</f>
        <v>#DIV/0!</v>
      </c>
    </row>
    <row r="431" spans="1:13" ht="21.75" customHeight="1">
      <c r="A431" s="57"/>
      <c r="B431" s="57" t="s">
        <v>50</v>
      </c>
      <c r="C431" s="110"/>
      <c r="D431" s="116">
        <v>45735</v>
      </c>
      <c r="F431" s="25"/>
      <c r="G431" s="31"/>
      <c r="H431" s="166">
        <v>1331</v>
      </c>
      <c r="I431" s="189"/>
      <c r="J431" s="37"/>
      <c r="K431" s="138" t="s">
        <v>118</v>
      </c>
      <c r="L431" s="37"/>
      <c r="M431" s="323" t="e">
        <f>Tracking_SI[[#This Row],[Chênh lệch 
(thừa so với ĐH)]]/Tracking_SI[[#This Row],[Số  lượng trên ĐH]]</f>
        <v>#DIV/0!</v>
      </c>
    </row>
    <row r="432" spans="1:13" ht="21.75" customHeight="1">
      <c r="A432" s="58" t="s">
        <v>115</v>
      </c>
      <c r="B432" s="57" t="s">
        <v>50</v>
      </c>
      <c r="C432" s="110"/>
      <c r="D432" s="183">
        <v>45720</v>
      </c>
      <c r="E432" s="30" t="s">
        <v>45</v>
      </c>
      <c r="F432" s="28" t="s">
        <v>8</v>
      </c>
      <c r="G432" s="149">
        <v>15000</v>
      </c>
      <c r="H432" s="172">
        <f>SUM(H433:H439)</f>
        <v>15000</v>
      </c>
      <c r="I432" s="199">
        <f>G432-H432</f>
        <v>0</v>
      </c>
      <c r="J432" s="150">
        <v>35900</v>
      </c>
      <c r="K432" s="195" t="s">
        <v>116</v>
      </c>
      <c r="L432" s="36"/>
      <c r="M432" s="323">
        <f>Tracking_SI[[#This Row],[Chênh lệch 
(thừa so với ĐH)]]/Tracking_SI[[#This Row],[Số  lượng trên ĐH]]</f>
        <v>0</v>
      </c>
    </row>
    <row r="433" spans="1:16" ht="21.75" customHeight="1">
      <c r="A433" s="57"/>
      <c r="B433" s="57" t="s">
        <v>50</v>
      </c>
      <c r="C433" s="110"/>
      <c r="D433" s="116">
        <v>45744</v>
      </c>
      <c r="F433" s="25"/>
      <c r="G433" s="31"/>
      <c r="H433" s="166">
        <v>1359</v>
      </c>
      <c r="I433" s="186"/>
      <c r="J433" s="37"/>
      <c r="K433" s="138" t="s">
        <v>118</v>
      </c>
      <c r="L433" s="37"/>
      <c r="M433" s="323" t="e">
        <f>Tracking_SI[[#This Row],[Chênh lệch 
(thừa so với ĐH)]]/Tracking_SI[[#This Row],[Số  lượng trên ĐH]]</f>
        <v>#DIV/0!</v>
      </c>
    </row>
    <row r="434" spans="1:16" ht="21.75" customHeight="1">
      <c r="A434" s="57"/>
      <c r="B434" s="57" t="s">
        <v>50</v>
      </c>
      <c r="C434" s="110"/>
      <c r="D434" s="116">
        <v>45748</v>
      </c>
      <c r="F434" s="25"/>
      <c r="G434" s="31"/>
      <c r="H434" s="166">
        <v>1634</v>
      </c>
      <c r="I434" s="189"/>
      <c r="J434" s="37"/>
      <c r="K434" s="138" t="s">
        <v>118</v>
      </c>
      <c r="L434" s="37"/>
      <c r="M434" s="323" t="e">
        <f>Tracking_SI[[#This Row],[Chênh lệch 
(thừa so với ĐH)]]/Tracking_SI[[#This Row],[Số  lượng trên ĐH]]</f>
        <v>#DIV/0!</v>
      </c>
    </row>
    <row r="435" spans="1:16" ht="21.75" customHeight="1">
      <c r="A435" s="57"/>
      <c r="B435" s="57" t="s">
        <v>50</v>
      </c>
      <c r="C435" s="110"/>
      <c r="D435" s="116">
        <v>45752</v>
      </c>
      <c r="F435" s="25"/>
      <c r="G435" s="31"/>
      <c r="H435" s="166">
        <v>3543</v>
      </c>
      <c r="I435" s="189"/>
      <c r="J435" s="37"/>
      <c r="K435" s="138" t="s">
        <v>118</v>
      </c>
      <c r="L435" s="37"/>
      <c r="M435" s="323" t="e">
        <f>Tracking_SI[[#This Row],[Chênh lệch 
(thừa so với ĐH)]]/Tracking_SI[[#This Row],[Số  lượng trên ĐH]]</f>
        <v>#DIV/0!</v>
      </c>
    </row>
    <row r="436" spans="1:16" ht="21.75" customHeight="1">
      <c r="A436" s="57"/>
      <c r="B436" s="57" t="s">
        <v>50</v>
      </c>
      <c r="C436" s="110"/>
      <c r="D436" s="116">
        <v>45757</v>
      </c>
      <c r="F436" s="25"/>
      <c r="G436" s="31"/>
      <c r="H436" s="166">
        <v>2172</v>
      </c>
      <c r="I436" s="189"/>
      <c r="J436" s="37"/>
      <c r="K436" s="138" t="s">
        <v>118</v>
      </c>
      <c r="L436" s="37"/>
      <c r="M436" s="323" t="e">
        <f>Tracking_SI[[#This Row],[Chênh lệch 
(thừa so với ĐH)]]/Tracking_SI[[#This Row],[Số  lượng trên ĐH]]</f>
        <v>#DIV/0!</v>
      </c>
    </row>
    <row r="437" spans="1:16" ht="21.75" customHeight="1">
      <c r="A437" s="57"/>
      <c r="B437" s="57" t="s">
        <v>50</v>
      </c>
      <c r="C437" s="110"/>
      <c r="D437" s="116">
        <v>45759</v>
      </c>
      <c r="F437" s="25"/>
      <c r="G437" s="31"/>
      <c r="H437" s="166">
        <v>2993</v>
      </c>
      <c r="I437" s="189"/>
      <c r="J437" s="37"/>
      <c r="K437" s="138" t="s">
        <v>118</v>
      </c>
      <c r="L437" s="37"/>
      <c r="M437" s="323" t="e">
        <f>Tracking_SI[[#This Row],[Chênh lệch 
(thừa so với ĐH)]]/Tracking_SI[[#This Row],[Số  lượng trên ĐH]]</f>
        <v>#DIV/0!</v>
      </c>
    </row>
    <row r="438" spans="1:16" ht="21.75" customHeight="1">
      <c r="A438" s="57"/>
      <c r="B438" s="57" t="s">
        <v>50</v>
      </c>
      <c r="C438" s="110"/>
      <c r="D438" s="116">
        <v>45764</v>
      </c>
      <c r="F438" s="25"/>
      <c r="G438" s="31"/>
      <c r="H438" s="166">
        <v>1623</v>
      </c>
      <c r="I438" s="187"/>
      <c r="J438" s="37"/>
      <c r="K438" s="138" t="s">
        <v>118</v>
      </c>
      <c r="L438" s="37"/>
      <c r="M438" s="323" t="e">
        <f>Tracking_SI[[#This Row],[Chênh lệch 
(thừa so với ĐH)]]/Tracking_SI[[#This Row],[Số  lượng trên ĐH]]</f>
        <v>#DIV/0!</v>
      </c>
    </row>
    <row r="439" spans="1:16" ht="21.75" customHeight="1">
      <c r="A439" s="57"/>
      <c r="B439" s="57" t="s">
        <v>50</v>
      </c>
      <c r="C439" s="110"/>
      <c r="D439" s="116">
        <v>45772</v>
      </c>
      <c r="F439" s="25"/>
      <c r="G439" s="31"/>
      <c r="H439" s="166">
        <v>1676</v>
      </c>
      <c r="I439" s="187"/>
      <c r="J439" s="37"/>
      <c r="K439" s="138" t="s">
        <v>118</v>
      </c>
      <c r="L439" s="37"/>
      <c r="M439" s="323" t="e">
        <f>Tracking_SI[[#This Row],[Chênh lệch 
(thừa so với ĐH)]]/Tracking_SI[[#This Row],[Số  lượng trên ĐH]]</f>
        <v>#DIV/0!</v>
      </c>
      <c r="N439" t="s">
        <v>54</v>
      </c>
      <c r="O439">
        <v>1248</v>
      </c>
      <c r="P439" s="6" t="s">
        <v>31</v>
      </c>
    </row>
    <row r="440" spans="1:16" ht="21.75" customHeight="1">
      <c r="A440" s="57" t="s">
        <v>115</v>
      </c>
      <c r="B440" s="57" t="s">
        <v>50</v>
      </c>
      <c r="C440" s="110"/>
      <c r="D440" s="183">
        <v>45747</v>
      </c>
      <c r="E440" s="30" t="s">
        <v>123</v>
      </c>
      <c r="F440" s="28" t="s">
        <v>8</v>
      </c>
      <c r="G440" s="149">
        <v>12000</v>
      </c>
      <c r="H440" s="172">
        <f>SUM(H441:H447)</f>
        <v>13207</v>
      </c>
      <c r="I440" s="200">
        <f>G440-H440</f>
        <v>-1207</v>
      </c>
      <c r="J440" s="150">
        <v>35900</v>
      </c>
      <c r="K440" s="196" t="s">
        <v>116</v>
      </c>
      <c r="L440" s="38"/>
      <c r="M440" s="323">
        <f>Tracking_SI[[#This Row],[Chênh lệch 
(thừa so với ĐH)]]/Tracking_SI[[#This Row],[Số  lượng trên ĐH]]</f>
        <v>-0.10058333333333333</v>
      </c>
      <c r="O440">
        <f>2016-1248</f>
        <v>768</v>
      </c>
      <c r="P440" s="6" t="s">
        <v>44</v>
      </c>
    </row>
    <row r="441" spans="1:16" ht="21.75" customHeight="1">
      <c r="A441" s="57"/>
      <c r="B441" s="57" t="s">
        <v>50</v>
      </c>
      <c r="C441" s="110"/>
      <c r="D441" s="108">
        <v>45772</v>
      </c>
      <c r="F441" s="27"/>
      <c r="G441" s="26"/>
      <c r="H441" s="164">
        <v>1820</v>
      </c>
      <c r="I441" s="189"/>
      <c r="J441" s="38"/>
      <c r="K441" s="138" t="s">
        <v>118</v>
      </c>
      <c r="L441" s="38"/>
      <c r="M441" s="323" t="e">
        <f>Tracking_SI[[#This Row],[Chênh lệch 
(thừa so với ĐH)]]/Tracking_SI[[#This Row],[Số  lượng trên ĐH]]</f>
        <v>#DIV/0!</v>
      </c>
      <c r="N441" t="s">
        <v>55</v>
      </c>
      <c r="O441" s="14">
        <v>2748</v>
      </c>
      <c r="P441" s="6" t="s">
        <v>37</v>
      </c>
    </row>
    <row r="442" spans="1:16" ht="21.75" customHeight="1">
      <c r="A442" s="57"/>
      <c r="B442" s="57" t="s">
        <v>50</v>
      </c>
      <c r="C442" s="110"/>
      <c r="D442" s="108">
        <v>45776</v>
      </c>
      <c r="F442" s="27"/>
      <c r="G442" s="26"/>
      <c r="H442" s="164">
        <v>2982</v>
      </c>
      <c r="I442" s="186"/>
      <c r="J442" s="37"/>
      <c r="K442" s="138" t="s">
        <v>118</v>
      </c>
      <c r="L442" s="37"/>
      <c r="M442" s="323" t="e">
        <f>Tracking_SI[[#This Row],[Chênh lệch 
(thừa so với ĐH)]]/Tracking_SI[[#This Row],[Số  lượng trên ĐH]]</f>
        <v>#DIV/0!</v>
      </c>
      <c r="O442" s="14"/>
      <c r="P442" s="6"/>
    </row>
    <row r="443" spans="1:16" ht="21.75" customHeight="1">
      <c r="A443" s="57"/>
      <c r="B443" s="57" t="s">
        <v>50</v>
      </c>
      <c r="C443" s="110"/>
      <c r="D443" s="108">
        <v>45776</v>
      </c>
      <c r="F443" s="27"/>
      <c r="G443" s="26"/>
      <c r="H443" s="164">
        <v>538</v>
      </c>
      <c r="I443" s="186"/>
      <c r="J443" s="37"/>
      <c r="K443" s="138" t="s">
        <v>118</v>
      </c>
      <c r="L443" s="37"/>
      <c r="M443" s="323" t="e">
        <f>Tracking_SI[[#This Row],[Chênh lệch 
(thừa so với ĐH)]]/Tracking_SI[[#This Row],[Số  lượng trên ĐH]]</f>
        <v>#DIV/0!</v>
      </c>
      <c r="N443" t="s">
        <v>57</v>
      </c>
      <c r="O443">
        <v>642</v>
      </c>
      <c r="P443" s="5" t="s">
        <v>58</v>
      </c>
    </row>
    <row r="444" spans="1:16" ht="21.75" customHeight="1">
      <c r="A444" s="57"/>
      <c r="B444" s="57" t="s">
        <v>50</v>
      </c>
      <c r="C444" s="110"/>
      <c r="D444" s="108">
        <v>45783</v>
      </c>
      <c r="F444" s="27"/>
      <c r="G444" s="26"/>
      <c r="H444" s="164">
        <v>1085</v>
      </c>
      <c r="I444" s="189"/>
      <c r="J444" s="37"/>
      <c r="K444" s="138" t="s">
        <v>118</v>
      </c>
      <c r="L444" s="37"/>
      <c r="M444" s="323" t="e">
        <f>Tracking_SI[[#This Row],[Chênh lệch 
(thừa so với ĐH)]]/Tracking_SI[[#This Row],[Số  lượng trên ĐH]]</f>
        <v>#DIV/0!</v>
      </c>
      <c r="P444" s="15"/>
    </row>
    <row r="445" spans="1:16" ht="21.75" customHeight="1">
      <c r="A445" s="57"/>
      <c r="B445" s="57" t="s">
        <v>50</v>
      </c>
      <c r="C445" s="110"/>
      <c r="D445" s="108">
        <v>45785</v>
      </c>
      <c r="F445" s="27"/>
      <c r="G445" s="26"/>
      <c r="H445" s="164">
        <v>1626</v>
      </c>
      <c r="I445" s="189"/>
      <c r="J445" s="37"/>
      <c r="K445" s="138" t="s">
        <v>118</v>
      </c>
      <c r="L445" s="37"/>
      <c r="M445" s="323" t="e">
        <f>Tracking_SI[[#This Row],[Chênh lệch 
(thừa so với ĐH)]]/Tracking_SI[[#This Row],[Số  lượng trên ĐH]]</f>
        <v>#DIV/0!</v>
      </c>
      <c r="P445" s="15"/>
    </row>
    <row r="446" spans="1:16" ht="21.75" customHeight="1">
      <c r="A446" s="57"/>
      <c r="B446" s="57" t="s">
        <v>50</v>
      </c>
      <c r="C446" s="110"/>
      <c r="D446" s="108">
        <v>45787</v>
      </c>
      <c r="F446" s="27"/>
      <c r="G446" s="26"/>
      <c r="H446" s="164">
        <v>1622</v>
      </c>
      <c r="I446" s="189"/>
      <c r="J446" s="37"/>
      <c r="K446" s="138" t="s">
        <v>118</v>
      </c>
      <c r="L446" s="37"/>
      <c r="M446" s="323" t="e">
        <f>Tracking_SI[[#This Row],[Chênh lệch 
(thừa so với ĐH)]]/Tracking_SI[[#This Row],[Số  lượng trên ĐH]]</f>
        <v>#DIV/0!</v>
      </c>
    </row>
    <row r="447" spans="1:16" ht="21.75" customHeight="1">
      <c r="A447" s="57"/>
      <c r="B447" s="57" t="s">
        <v>50</v>
      </c>
      <c r="C447" s="110"/>
      <c r="D447" s="108">
        <v>45799</v>
      </c>
      <c r="F447" s="25"/>
      <c r="G447" s="31"/>
      <c r="H447" s="164">
        <v>3534</v>
      </c>
      <c r="I447" s="189"/>
      <c r="J447" s="37"/>
      <c r="K447" s="138" t="s">
        <v>118</v>
      </c>
      <c r="L447" s="37"/>
      <c r="M447" s="323" t="e">
        <f>Tracking_SI[[#This Row],[Chênh lệch 
(thừa so với ĐH)]]/Tracking_SI[[#This Row],[Số  lượng trên ĐH]]</f>
        <v>#DIV/0!</v>
      </c>
    </row>
    <row r="448" spans="1:16" ht="21.75" customHeight="1">
      <c r="A448" s="57" t="s">
        <v>115</v>
      </c>
      <c r="B448" s="57" t="s">
        <v>50</v>
      </c>
      <c r="C448" s="110"/>
      <c r="D448" s="113">
        <v>45772</v>
      </c>
      <c r="E448" s="28" t="s">
        <v>130</v>
      </c>
      <c r="F448" s="155" t="s">
        <v>8</v>
      </c>
      <c r="G448" s="29">
        <v>15000</v>
      </c>
      <c r="H448" s="165">
        <f>SUM(H449:H454)</f>
        <v>15215</v>
      </c>
      <c r="I448" s="262">
        <f>Tracking_SI[[#This Row],[Số  lượng trên ĐH]]-Tracking_SI[[#This Row],[Số  lượng giao]]</f>
        <v>-215</v>
      </c>
      <c r="J448" s="305">
        <v>35900</v>
      </c>
      <c r="K448" s="138" t="s">
        <v>116</v>
      </c>
      <c r="L448" s="38"/>
      <c r="M448" s="323">
        <f>Tracking_SI[[#This Row],[Chênh lệch 
(thừa so với ĐH)]]/Tracking_SI[[#This Row],[Số  lượng trên ĐH]]</f>
        <v>-1.4333333333333333E-2</v>
      </c>
    </row>
    <row r="449" spans="1:13" ht="21.75" customHeight="1">
      <c r="A449" s="57"/>
      <c r="B449" s="57" t="s">
        <v>50</v>
      </c>
      <c r="C449" s="110"/>
      <c r="D449" s="108">
        <v>45812</v>
      </c>
      <c r="E449" s="30" t="s">
        <v>130</v>
      </c>
      <c r="F449" s="25"/>
      <c r="G449" s="31"/>
      <c r="H449" s="164">
        <v>2958</v>
      </c>
      <c r="I449" s="187"/>
      <c r="J449" s="37"/>
      <c r="K449" s="196" t="s">
        <v>118</v>
      </c>
      <c r="L449" s="37"/>
      <c r="M449" s="323" t="e">
        <f>Tracking_SI[[#This Row],[Chênh lệch 
(thừa so với ĐH)]]/Tracking_SI[[#This Row],[Số  lượng trên ĐH]]</f>
        <v>#DIV/0!</v>
      </c>
    </row>
    <row r="450" spans="1:13" ht="21.75" customHeight="1">
      <c r="A450" s="57"/>
      <c r="B450" s="57" t="s">
        <v>50</v>
      </c>
      <c r="C450" s="110"/>
      <c r="D450" s="108">
        <v>45841</v>
      </c>
      <c r="E450" s="30" t="s">
        <v>130</v>
      </c>
      <c r="F450" s="25"/>
      <c r="G450" s="31"/>
      <c r="H450" s="164">
        <v>5130</v>
      </c>
      <c r="I450" s="187"/>
      <c r="J450" s="37"/>
      <c r="K450" s="196" t="s">
        <v>118</v>
      </c>
      <c r="L450" s="37"/>
      <c r="M450" s="323" t="e">
        <f>Tracking_SI[[#This Row],[Chênh lệch 
(thừa so với ĐH)]]/Tracking_SI[[#This Row],[Số  lượng trên ĐH]]</f>
        <v>#DIV/0!</v>
      </c>
    </row>
    <row r="451" spans="1:13" ht="21.75" customHeight="1">
      <c r="A451" s="57"/>
      <c r="B451" s="57" t="s">
        <v>50</v>
      </c>
      <c r="C451" s="110"/>
      <c r="D451" s="108">
        <v>45841</v>
      </c>
      <c r="E451" s="30" t="s">
        <v>130</v>
      </c>
      <c r="F451" s="25"/>
      <c r="G451" s="31"/>
      <c r="H451" s="164">
        <v>660</v>
      </c>
      <c r="I451" s="189"/>
      <c r="J451" s="37"/>
      <c r="K451" s="196" t="s">
        <v>118</v>
      </c>
      <c r="L451" s="37"/>
      <c r="M451" s="323" t="e">
        <f>Tracking_SI[[#This Row],[Chênh lệch 
(thừa so với ĐH)]]/Tracking_SI[[#This Row],[Số  lượng trên ĐH]]</f>
        <v>#DIV/0!</v>
      </c>
    </row>
    <row r="452" spans="1:13" ht="21.75" customHeight="1">
      <c r="A452" s="57"/>
      <c r="B452" s="57" t="s">
        <v>50</v>
      </c>
      <c r="C452" s="110"/>
      <c r="D452" s="108">
        <v>45845</v>
      </c>
      <c r="E452" s="30" t="s">
        <v>130</v>
      </c>
      <c r="F452" s="25"/>
      <c r="G452" s="31"/>
      <c r="H452" s="164">
        <v>4320</v>
      </c>
      <c r="I452" s="189"/>
      <c r="J452" s="37"/>
      <c r="K452" s="196" t="s">
        <v>118</v>
      </c>
      <c r="L452" s="37"/>
      <c r="M452" s="323" t="e">
        <f>Tracking_SI[[#This Row],[Chênh lệch 
(thừa so với ĐH)]]/Tracking_SI[[#This Row],[Số  lượng trên ĐH]]</f>
        <v>#DIV/0!</v>
      </c>
    </row>
    <row r="453" spans="1:13" ht="21.75" customHeight="1">
      <c r="A453" s="57"/>
      <c r="B453" s="57" t="s">
        <v>50</v>
      </c>
      <c r="C453" s="110"/>
      <c r="D453" s="108">
        <v>45852</v>
      </c>
      <c r="E453" s="30" t="s">
        <v>130</v>
      </c>
      <c r="F453" s="25"/>
      <c r="G453" s="31"/>
      <c r="H453" s="164">
        <v>274</v>
      </c>
      <c r="I453" s="189"/>
      <c r="J453" s="37"/>
      <c r="K453" s="196" t="s">
        <v>118</v>
      </c>
      <c r="L453" s="37"/>
      <c r="M453" s="323" t="e">
        <f>Tracking_SI[[#This Row],[Chênh lệch 
(thừa so với ĐH)]]/Tracking_SI[[#This Row],[Số  lượng trên ĐH]]</f>
        <v>#DIV/0!</v>
      </c>
    </row>
    <row r="454" spans="1:13" ht="21.75" customHeight="1">
      <c r="A454" s="57"/>
      <c r="B454" s="57" t="s">
        <v>50</v>
      </c>
      <c r="C454" s="110"/>
      <c r="D454" s="108">
        <v>45884</v>
      </c>
      <c r="E454" s="30" t="s">
        <v>130</v>
      </c>
      <c r="F454" s="25"/>
      <c r="G454" s="31"/>
      <c r="H454" s="164">
        <v>1873</v>
      </c>
      <c r="I454" s="189"/>
      <c r="J454" s="37"/>
      <c r="K454" s="196" t="s">
        <v>118</v>
      </c>
      <c r="L454" s="37"/>
      <c r="M454" s="323" t="e">
        <f>Tracking_SI[[#This Row],[Chênh lệch 
(thừa so với ĐH)]]/Tracking_SI[[#This Row],[Số  lượng trên ĐH]]</f>
        <v>#DIV/0!</v>
      </c>
    </row>
    <row r="455" spans="1:13" ht="21.75" customHeight="1">
      <c r="A455" s="57" t="s">
        <v>115</v>
      </c>
      <c r="B455" s="57" t="s">
        <v>50</v>
      </c>
      <c r="C455" s="110"/>
      <c r="D455" s="113">
        <v>45846</v>
      </c>
      <c r="E455" s="28" t="s">
        <v>177</v>
      </c>
      <c r="F455" s="302">
        <v>10000</v>
      </c>
      <c r="G455" s="299">
        <v>16000</v>
      </c>
      <c r="H455" s="165">
        <f>SUM(H456:H462)</f>
        <v>16233</v>
      </c>
      <c r="I455" s="138">
        <f>Tracking_SI[[#This Row],[Số  lượng trên ĐH]]-Tracking_SI[[#This Row],[Số  lượng giao]]</f>
        <v>-233</v>
      </c>
      <c r="J455" s="37"/>
      <c r="K455" s="357"/>
      <c r="L455" s="37"/>
      <c r="M455" s="323">
        <f>Tracking_SI[[#This Row],[Chênh lệch 
(thừa so với ĐH)]]/Tracking_SI[[#This Row],[Số  lượng trên ĐH]]</f>
        <v>-1.4562500000000001E-2</v>
      </c>
    </row>
    <row r="456" spans="1:13" ht="21.75" customHeight="1">
      <c r="A456" s="57"/>
      <c r="B456" s="57" t="s">
        <v>50</v>
      </c>
      <c r="C456" s="110"/>
      <c r="D456" s="108">
        <v>45892</v>
      </c>
      <c r="E456" s="30" t="s">
        <v>177</v>
      </c>
      <c r="F456" s="25"/>
      <c r="G456" s="31"/>
      <c r="H456" s="164">
        <v>4257</v>
      </c>
      <c r="I456" s="189"/>
      <c r="J456" s="37"/>
      <c r="K456" s="196"/>
      <c r="L456" s="37"/>
      <c r="M456" s="323" t="e">
        <f>Tracking_SI[[#This Row],[Chênh lệch 
(thừa so với ĐH)]]/Tracking_SI[[#This Row],[Số  lượng trên ĐH]]</f>
        <v>#DIV/0!</v>
      </c>
    </row>
    <row r="457" spans="1:13" ht="21.75" customHeight="1">
      <c r="A457" s="57"/>
      <c r="B457" s="57" t="s">
        <v>50</v>
      </c>
      <c r="C457" s="110"/>
      <c r="D457" s="108">
        <v>45915</v>
      </c>
      <c r="E457" s="30" t="s">
        <v>177</v>
      </c>
      <c r="F457" s="25"/>
      <c r="G457" s="31"/>
      <c r="H457" s="164">
        <v>2412</v>
      </c>
      <c r="I457" s="189"/>
      <c r="J457" s="37"/>
      <c r="K457" s="196"/>
      <c r="L457" s="37"/>
      <c r="M457" s="323" t="e">
        <f>Tracking_SI[[#This Row],[Chênh lệch 
(thừa so với ĐH)]]/Tracking_SI[[#This Row],[Số  lượng trên ĐH]]</f>
        <v>#DIV/0!</v>
      </c>
    </row>
    <row r="458" spans="1:13" ht="21.75" customHeight="1">
      <c r="A458" s="57"/>
      <c r="B458" s="57" t="s">
        <v>50</v>
      </c>
      <c r="C458" s="110"/>
      <c r="D458" s="108">
        <v>46090</v>
      </c>
      <c r="E458" s="30" t="s">
        <v>177</v>
      </c>
      <c r="F458" s="25"/>
      <c r="G458" s="31"/>
      <c r="H458" s="164">
        <v>2464</v>
      </c>
      <c r="I458" s="189"/>
      <c r="J458" s="37"/>
      <c r="K458" s="196"/>
      <c r="L458" s="37"/>
      <c r="M458" s="323" t="e">
        <f>Tracking_SI[[#This Row],[Chênh lệch 
(thừa so với ĐH)]]/Tracking_SI[[#This Row],[Số  lượng trên ĐH]]</f>
        <v>#DIV/0!</v>
      </c>
    </row>
    <row r="459" spans="1:13" ht="21.75" customHeight="1">
      <c r="A459" s="57"/>
      <c r="B459" s="57" t="s">
        <v>50</v>
      </c>
      <c r="C459" s="294"/>
      <c r="D459" s="108">
        <v>46093</v>
      </c>
      <c r="E459" s="30" t="s">
        <v>177</v>
      </c>
      <c r="F459" s="25"/>
      <c r="G459" s="31"/>
      <c r="H459" s="166">
        <v>822</v>
      </c>
      <c r="I459" s="189"/>
      <c r="J459" s="37"/>
      <c r="K459" s="139"/>
      <c r="L459" s="37"/>
      <c r="M459" s="326" t="e">
        <f>Tracking_SI[[#This Row],[Chênh lệch 
(thừa so với ĐH)]]/Tracking_SI[[#This Row],[Số  lượng trên ĐH]]</f>
        <v>#DIV/0!</v>
      </c>
    </row>
    <row r="460" spans="1:13" ht="21.75" customHeight="1">
      <c r="A460" s="57"/>
      <c r="B460" s="57" t="s">
        <v>50</v>
      </c>
      <c r="C460" s="294"/>
      <c r="D460" s="108">
        <v>46104</v>
      </c>
      <c r="E460" s="27" t="s">
        <v>177</v>
      </c>
      <c r="F460" s="25"/>
      <c r="G460" s="31"/>
      <c r="H460" s="164">
        <v>1633</v>
      </c>
      <c r="I460" s="189"/>
      <c r="J460" s="37"/>
      <c r="K460" s="139"/>
      <c r="L460" s="37"/>
      <c r="M460" s="326" t="e">
        <f>Tracking_SI[[#This Row],[Chênh lệch 
(thừa so với ĐH)]]/Tracking_SI[[#This Row],[Số  lượng trên ĐH]]</f>
        <v>#DIV/0!</v>
      </c>
    </row>
    <row r="461" spans="1:13" ht="21.75" customHeight="1">
      <c r="A461" s="57"/>
      <c r="B461" s="57" t="s">
        <v>50</v>
      </c>
      <c r="C461" s="294"/>
      <c r="D461" s="108">
        <v>46113</v>
      </c>
      <c r="E461" s="30" t="s">
        <v>177</v>
      </c>
      <c r="F461" s="25"/>
      <c r="G461" s="31"/>
      <c r="H461" s="164">
        <v>2450</v>
      </c>
      <c r="I461" s="189"/>
      <c r="J461" s="37"/>
      <c r="K461" s="139"/>
      <c r="L461" s="37"/>
      <c r="M461" s="326" t="e">
        <f>Tracking_SI[[#This Row],[Chênh lệch 
(thừa so với ĐH)]]/Tracking_SI[[#This Row],[Số  lượng trên ĐH]]</f>
        <v>#DIV/0!</v>
      </c>
    </row>
    <row r="462" spans="1:13" ht="21.75" customHeight="1">
      <c r="A462" s="57"/>
      <c r="B462" s="57" t="s">
        <v>50</v>
      </c>
      <c r="C462" s="294"/>
      <c r="D462" s="108">
        <v>46118</v>
      </c>
      <c r="E462" s="30" t="s">
        <v>177</v>
      </c>
      <c r="F462" s="25"/>
      <c r="G462" s="31"/>
      <c r="H462" s="189">
        <v>2195</v>
      </c>
      <c r="I462" s="189"/>
      <c r="J462" s="37"/>
      <c r="K462" s="139"/>
      <c r="L462" s="37"/>
      <c r="M462" s="326" t="e">
        <f>Tracking_SI[[#This Row],[Chênh lệch 
(thừa so với ĐH)]]/Tracking_SI[[#This Row],[Số  lượng trên ĐH]]</f>
        <v>#DIV/0!</v>
      </c>
    </row>
    <row r="463" spans="1:13" ht="21.75" customHeight="1">
      <c r="A463" s="57" t="s">
        <v>115</v>
      </c>
      <c r="B463" s="555" t="s">
        <v>50</v>
      </c>
      <c r="C463" s="556"/>
      <c r="D463" s="300">
        <v>46044</v>
      </c>
      <c r="E463" s="301" t="s">
        <v>203</v>
      </c>
      <c r="F463" s="156"/>
      <c r="G463" s="304">
        <v>12000</v>
      </c>
      <c r="H463" s="315">
        <f>SUM(H464:H466)</f>
        <v>5112</v>
      </c>
      <c r="I463" s="306">
        <f>Tracking_SI[[#This Row],[Số  lượng trên ĐH]]-H463</f>
        <v>6888</v>
      </c>
      <c r="J463" s="37"/>
      <c r="K463" s="357"/>
      <c r="L463" s="37"/>
      <c r="M463" s="326">
        <f>Tracking_SI[[#This Row],[Chênh lệch 
(thừa so với ĐH)]]/Tracking_SI[[#This Row],[Số  lượng trên ĐH]]</f>
        <v>0.57399999999999995</v>
      </c>
    </row>
    <row r="464" spans="1:13" ht="21.75" customHeight="1">
      <c r="A464" s="57"/>
      <c r="B464" s="57" t="s">
        <v>50</v>
      </c>
      <c r="C464" s="294"/>
      <c r="D464" s="108">
        <v>46126</v>
      </c>
      <c r="E464" s="30" t="s">
        <v>203</v>
      </c>
      <c r="F464" s="25"/>
      <c r="G464" s="31"/>
      <c r="H464" s="166">
        <v>2424</v>
      </c>
      <c r="I464" s="189"/>
      <c r="J464" s="37"/>
      <c r="K464" s="139"/>
      <c r="L464" s="37"/>
      <c r="M464" s="326" t="e">
        <f>Tracking_SI[[#This Row],[Chênh lệch 
(thừa so với ĐH)]]/Tracking_SI[[#This Row],[Số  lượng trên ĐH]]</f>
        <v>#DIV/0!</v>
      </c>
    </row>
    <row r="465" spans="1:13" ht="21.75" customHeight="1">
      <c r="A465" s="57" t="s">
        <v>118</v>
      </c>
      <c r="B465" s="57" t="s">
        <v>50</v>
      </c>
      <c r="C465" s="294"/>
      <c r="D465" s="108">
        <v>46129</v>
      </c>
      <c r="E465" s="27" t="s">
        <v>203</v>
      </c>
      <c r="F465" s="25"/>
      <c r="G465" s="31"/>
      <c r="H465" s="164">
        <v>2688</v>
      </c>
      <c r="I465" s="189"/>
      <c r="J465" s="37"/>
      <c r="K465" s="139"/>
      <c r="L465" s="37"/>
      <c r="M465" s="326" t="e">
        <f>Tracking_SI[[#This Row],[Chênh lệch 
(thừa so với ĐH)]]/Tracking_SI[[#This Row],[Số  lượng trên ĐH]]</f>
        <v>#DIV/0!</v>
      </c>
    </row>
    <row r="466" spans="1:13" ht="21.75" customHeight="1">
      <c r="A466" s="57"/>
      <c r="B466" s="57" t="s">
        <v>50</v>
      </c>
      <c r="C466" s="294"/>
      <c r="D466" s="108"/>
      <c r="E466" s="30" t="s">
        <v>203</v>
      </c>
      <c r="F466" s="25"/>
      <c r="G466" s="31"/>
      <c r="H466" s="166"/>
      <c r="I466" s="189"/>
      <c r="J466" s="37"/>
      <c r="K466" s="139"/>
      <c r="L466" s="37"/>
      <c r="M466" s="326" t="e">
        <f>Tracking_SI[[#This Row],[Chênh lệch 
(thừa so với ĐH)]]/Tracking_SI[[#This Row],[Số  lượng trên ĐH]]</f>
        <v>#DIV/0!</v>
      </c>
    </row>
    <row r="467" spans="1:13" ht="21.75" customHeight="1">
      <c r="A467" s="57" t="s">
        <v>115</v>
      </c>
      <c r="B467" s="57" t="s">
        <v>50</v>
      </c>
      <c r="C467" s="294"/>
      <c r="D467" s="154">
        <v>46086</v>
      </c>
      <c r="E467" s="155" t="s">
        <v>212</v>
      </c>
      <c r="F467" s="201"/>
      <c r="G467" s="168">
        <v>20000</v>
      </c>
      <c r="H467" s="357"/>
      <c r="I467" s="189"/>
      <c r="J467" s="37"/>
      <c r="K467" s="139"/>
      <c r="L467" s="37"/>
      <c r="M467" s="326">
        <f>Tracking_SI[[#This Row],[Chênh lệch 
(thừa so với ĐH)]]/Tracking_SI[[#This Row],[Số  lượng trên ĐH]]</f>
        <v>0</v>
      </c>
    </row>
    <row r="468" spans="1:13" ht="21.75" customHeight="1">
      <c r="A468" s="57"/>
      <c r="B468" s="57" t="s">
        <v>50</v>
      </c>
      <c r="C468" s="294"/>
      <c r="D468" s="108"/>
      <c r="E468" s="30" t="s">
        <v>212</v>
      </c>
      <c r="F468" s="25"/>
      <c r="G468" s="31"/>
      <c r="H468" s="166"/>
      <c r="I468" s="189"/>
      <c r="J468" s="37"/>
      <c r="K468" s="139"/>
      <c r="L468" s="37"/>
      <c r="M468" s="326" t="e">
        <f>Tracking_SI[[#This Row],[Chênh lệch 
(thừa so với ĐH)]]/Tracking_SI[[#This Row],[Số  lượng trên ĐH]]</f>
        <v>#DIV/0!</v>
      </c>
    </row>
    <row r="469" spans="1:13" ht="21.75" customHeight="1">
      <c r="A469" s="57"/>
      <c r="B469" s="57" t="s">
        <v>50</v>
      </c>
      <c r="C469" s="110"/>
      <c r="D469" s="108"/>
      <c r="E469" s="30" t="s">
        <v>212</v>
      </c>
      <c r="F469" s="25"/>
      <c r="G469" s="31"/>
      <c r="H469" s="164"/>
      <c r="I469" s="186"/>
      <c r="J469" s="37"/>
      <c r="K469" s="139"/>
      <c r="L469" s="37"/>
      <c r="M469" s="323" t="e">
        <f>Tracking_SI[[#This Row],[Chênh lệch 
(thừa so với ĐH)]]/Tracking_SI[[#This Row],[Số  lượng trên ĐH]]</f>
        <v>#DIV/0!</v>
      </c>
    </row>
    <row r="470" spans="1:13" ht="21.75" customHeight="1">
      <c r="A470" s="58" t="s">
        <v>106</v>
      </c>
      <c r="B470" s="73" t="s">
        <v>128</v>
      </c>
      <c r="C470" s="74" t="s">
        <v>127</v>
      </c>
      <c r="D470" s="117"/>
      <c r="E470" s="75"/>
      <c r="F470" s="80"/>
      <c r="G470" s="75"/>
      <c r="H470" s="553"/>
      <c r="I470" s="205"/>
      <c r="J470" s="78"/>
      <c r="K470" s="137"/>
      <c r="L470" s="77"/>
      <c r="M470" s="323" t="e">
        <f>Tracking_SI[[#This Row],[Chênh lệch 
(thừa so với ĐH)]]/Tracking_SI[[#This Row],[Số  lượng trên ĐH]]</f>
        <v>#DIV/0!</v>
      </c>
    </row>
    <row r="471" spans="1:13" ht="21.75" customHeight="1">
      <c r="A471" s="58" t="s">
        <v>115</v>
      </c>
      <c r="B471" s="57" t="s">
        <v>128</v>
      </c>
      <c r="C471" s="48"/>
      <c r="D471" s="183">
        <v>45659</v>
      </c>
      <c r="E471" s="30" t="s">
        <v>39</v>
      </c>
      <c r="F471" s="28" t="s">
        <v>8</v>
      </c>
      <c r="G471" s="149">
        <v>5000</v>
      </c>
      <c r="H471" s="164">
        <f>SUM(H472:H475)</f>
        <v>5013</v>
      </c>
      <c r="I471" s="199">
        <f>G471-H471</f>
        <v>-13</v>
      </c>
      <c r="J471" s="150">
        <v>36100</v>
      </c>
      <c r="K471" s="195" t="s">
        <v>116</v>
      </c>
      <c r="L471" s="38"/>
      <c r="M471" s="323">
        <f>Tracking_SI[[#This Row],[Chênh lệch 
(thừa so với ĐH)]]/Tracking_SI[[#This Row],[Số  lượng trên ĐH]]</f>
        <v>-2.5999999999999999E-3</v>
      </c>
    </row>
    <row r="472" spans="1:13" ht="21.75" customHeight="1">
      <c r="A472" s="57"/>
      <c r="B472" s="57" t="s">
        <v>128</v>
      </c>
      <c r="C472" s="48"/>
      <c r="D472" s="108">
        <v>45664</v>
      </c>
      <c r="F472" s="25"/>
      <c r="G472" s="31"/>
      <c r="H472" s="164">
        <v>480</v>
      </c>
      <c r="I472" s="189"/>
      <c r="J472" s="37"/>
      <c r="K472" s="138" t="s">
        <v>118</v>
      </c>
      <c r="L472" s="37"/>
      <c r="M472" s="323" t="e">
        <f>Tracking_SI[[#This Row],[Chênh lệch 
(thừa so với ĐH)]]/Tracking_SI[[#This Row],[Số  lượng trên ĐH]]</f>
        <v>#DIV/0!</v>
      </c>
    </row>
    <row r="473" spans="1:13" ht="21.75" customHeight="1">
      <c r="A473" s="57"/>
      <c r="B473" s="57" t="s">
        <v>128</v>
      </c>
      <c r="C473" s="48"/>
      <c r="D473" s="108">
        <v>45667</v>
      </c>
      <c r="F473" s="25"/>
      <c r="G473" s="31"/>
      <c r="H473" s="164">
        <v>1439</v>
      </c>
      <c r="I473" s="189"/>
      <c r="J473" s="37"/>
      <c r="K473" s="138" t="s">
        <v>118</v>
      </c>
      <c r="L473" s="37"/>
      <c r="M473" s="323" t="e">
        <f>Tracking_SI[[#This Row],[Chênh lệch 
(thừa so với ĐH)]]/Tracking_SI[[#This Row],[Số  lượng trên ĐH]]</f>
        <v>#DIV/0!</v>
      </c>
    </row>
    <row r="474" spans="1:13" ht="21.75" customHeight="1">
      <c r="A474" s="57"/>
      <c r="B474" s="57" t="s">
        <v>128</v>
      </c>
      <c r="C474" s="48"/>
      <c r="D474" s="108">
        <v>45672</v>
      </c>
      <c r="F474" s="25"/>
      <c r="G474" s="31"/>
      <c r="H474" s="164">
        <v>2146</v>
      </c>
      <c r="I474" s="189"/>
      <c r="J474" s="37"/>
      <c r="K474" s="138" t="s">
        <v>118</v>
      </c>
      <c r="L474" s="37"/>
      <c r="M474" s="323" t="e">
        <f>Tracking_SI[[#This Row],[Chênh lệch 
(thừa so với ĐH)]]/Tracking_SI[[#This Row],[Số  lượng trên ĐH]]</f>
        <v>#DIV/0!</v>
      </c>
    </row>
    <row r="475" spans="1:13" ht="21.75" customHeight="1">
      <c r="A475" s="57"/>
      <c r="B475" s="57" t="s">
        <v>128</v>
      </c>
      <c r="C475" s="48"/>
      <c r="D475" s="108">
        <v>45693</v>
      </c>
      <c r="F475" s="25"/>
      <c r="G475" s="31"/>
      <c r="H475" s="164">
        <v>948</v>
      </c>
      <c r="I475" s="187"/>
      <c r="J475" s="37"/>
      <c r="K475" s="138" t="s">
        <v>118</v>
      </c>
      <c r="L475" s="37"/>
      <c r="M475" s="323" t="e">
        <f>Tracking_SI[[#This Row],[Chênh lệch 
(thừa so với ĐH)]]/Tracking_SI[[#This Row],[Số  lượng trên ĐH]]</f>
        <v>#DIV/0!</v>
      </c>
    </row>
    <row r="476" spans="1:13" ht="21.75" customHeight="1">
      <c r="A476" s="58" t="s">
        <v>115</v>
      </c>
      <c r="B476" s="57" t="s">
        <v>128</v>
      </c>
      <c r="C476" s="48"/>
      <c r="D476" s="183">
        <v>45681</v>
      </c>
      <c r="E476" s="30" t="s">
        <v>31</v>
      </c>
      <c r="F476" s="28" t="s">
        <v>8</v>
      </c>
      <c r="G476" s="149">
        <v>5000</v>
      </c>
      <c r="H476" s="164">
        <f>SUM(H477:H481)</f>
        <v>5000</v>
      </c>
      <c r="I476" s="200">
        <f>G476-H476</f>
        <v>0</v>
      </c>
      <c r="J476" s="150">
        <v>36100</v>
      </c>
      <c r="K476" s="195" t="s">
        <v>116</v>
      </c>
      <c r="L476" s="38"/>
      <c r="M476" s="323">
        <f>Tracking_SI[[#This Row],[Chênh lệch 
(thừa so với ĐH)]]/Tracking_SI[[#This Row],[Số  lượng trên ĐH]]</f>
        <v>0</v>
      </c>
    </row>
    <row r="477" spans="1:13" ht="21.75" customHeight="1">
      <c r="A477" s="57"/>
      <c r="B477" s="57" t="s">
        <v>128</v>
      </c>
      <c r="C477" s="48"/>
      <c r="D477" s="108">
        <v>45699</v>
      </c>
      <c r="F477" s="25"/>
      <c r="G477" s="31"/>
      <c r="H477" s="164">
        <v>720</v>
      </c>
      <c r="I477" s="187"/>
      <c r="J477" s="37"/>
      <c r="K477" s="138" t="s">
        <v>118</v>
      </c>
      <c r="L477" s="37"/>
      <c r="M477" s="323" t="e">
        <f>Tracking_SI[[#This Row],[Chênh lệch 
(thừa so với ĐH)]]/Tracking_SI[[#This Row],[Số  lượng trên ĐH]]</f>
        <v>#DIV/0!</v>
      </c>
    </row>
    <row r="478" spans="1:13" ht="21.75" customHeight="1">
      <c r="A478" s="57"/>
      <c r="B478" s="57" t="s">
        <v>128</v>
      </c>
      <c r="C478" s="48"/>
      <c r="D478" s="108">
        <v>45701</v>
      </c>
      <c r="F478" s="25"/>
      <c r="G478" s="31"/>
      <c r="H478" s="164">
        <v>480</v>
      </c>
      <c r="I478" s="189"/>
      <c r="J478" s="37"/>
      <c r="K478" s="138" t="s">
        <v>118</v>
      </c>
      <c r="L478" s="37"/>
      <c r="M478" s="323" t="e">
        <f>Tracking_SI[[#This Row],[Chênh lệch 
(thừa so với ĐH)]]/Tracking_SI[[#This Row],[Số  lượng trên ĐH]]</f>
        <v>#DIV/0!</v>
      </c>
    </row>
    <row r="479" spans="1:13" ht="21.75" customHeight="1">
      <c r="A479" s="57"/>
      <c r="B479" s="57" t="s">
        <v>128</v>
      </c>
      <c r="C479" s="48"/>
      <c r="D479" s="108">
        <v>45703</v>
      </c>
      <c r="F479" s="25"/>
      <c r="G479" s="31"/>
      <c r="H479" s="164">
        <v>479</v>
      </c>
      <c r="I479" s="186"/>
      <c r="J479" s="37"/>
      <c r="K479" s="138" t="s">
        <v>118</v>
      </c>
      <c r="L479" s="37"/>
      <c r="M479" s="323" t="e">
        <f>Tracking_SI[[#This Row],[Chênh lệch 
(thừa so với ĐH)]]/Tracking_SI[[#This Row],[Số  lượng trên ĐH]]</f>
        <v>#DIV/0!</v>
      </c>
    </row>
    <row r="480" spans="1:13" ht="21.75" customHeight="1">
      <c r="A480" s="57"/>
      <c r="B480" s="57" t="s">
        <v>128</v>
      </c>
      <c r="C480" s="48"/>
      <c r="D480" s="108">
        <v>45706</v>
      </c>
      <c r="F480" s="25"/>
      <c r="G480" s="31"/>
      <c r="H480" s="164">
        <v>721</v>
      </c>
      <c r="I480" s="186"/>
      <c r="J480" s="37"/>
      <c r="K480" s="138" t="s">
        <v>118</v>
      </c>
      <c r="L480" s="37"/>
      <c r="M480" s="323" t="e">
        <f>Tracking_SI[[#This Row],[Chênh lệch 
(thừa so với ĐH)]]/Tracking_SI[[#This Row],[Số  lượng trên ĐH]]</f>
        <v>#DIV/0!</v>
      </c>
    </row>
    <row r="481" spans="1:20" ht="21.75" customHeight="1">
      <c r="A481" s="57"/>
      <c r="B481" s="57" t="s">
        <v>128</v>
      </c>
      <c r="C481" s="48"/>
      <c r="D481" s="108">
        <v>45726</v>
      </c>
      <c r="F481" s="25"/>
      <c r="G481" s="31"/>
      <c r="H481" s="164">
        <v>2600</v>
      </c>
      <c r="I481" s="189"/>
      <c r="J481" s="37"/>
      <c r="K481" s="138" t="s">
        <v>118</v>
      </c>
      <c r="L481" s="37"/>
      <c r="M481" s="323" t="e">
        <f>Tracking_SI[[#This Row],[Chênh lệch 
(thừa so với ĐH)]]/Tracking_SI[[#This Row],[Số  lượng trên ĐH]]</f>
        <v>#DIV/0!</v>
      </c>
    </row>
    <row r="482" spans="1:20" ht="21.75" customHeight="1">
      <c r="A482" s="58" t="s">
        <v>115</v>
      </c>
      <c r="B482" s="57" t="s">
        <v>128</v>
      </c>
      <c r="C482" s="48"/>
      <c r="D482" s="183">
        <v>45696</v>
      </c>
      <c r="E482" s="30" t="s">
        <v>37</v>
      </c>
      <c r="F482" s="28" t="s">
        <v>8</v>
      </c>
      <c r="G482" s="149">
        <v>10000</v>
      </c>
      <c r="H482" s="164">
        <f>SUM(G483:H486)</f>
        <v>10000</v>
      </c>
      <c r="I482" s="199">
        <f>G482-H482</f>
        <v>0</v>
      </c>
      <c r="J482" s="150">
        <v>36100</v>
      </c>
      <c r="K482" s="195" t="s">
        <v>116</v>
      </c>
      <c r="L482" s="38"/>
      <c r="M482" s="323">
        <f>Tracking_SI[[#This Row],[Chênh lệch 
(thừa so với ĐH)]]/Tracking_SI[[#This Row],[Số  lượng trên ĐH]]</f>
        <v>0</v>
      </c>
    </row>
    <row r="483" spans="1:20" ht="21.75" customHeight="1">
      <c r="A483" s="57"/>
      <c r="B483" s="57" t="s">
        <v>128</v>
      </c>
      <c r="C483" s="48"/>
      <c r="D483" s="108">
        <v>45726</v>
      </c>
      <c r="F483" s="25"/>
      <c r="G483" s="31"/>
      <c r="H483" s="164">
        <f>4342-2600</f>
        <v>1742</v>
      </c>
      <c r="I483" s="189"/>
      <c r="J483" s="37"/>
      <c r="K483" s="138" t="s">
        <v>118</v>
      </c>
      <c r="L483" s="37"/>
      <c r="M483" s="323" t="e">
        <f>Tracking_SI[[#This Row],[Chênh lệch 
(thừa so với ĐH)]]/Tracking_SI[[#This Row],[Số  lượng trên ĐH]]</f>
        <v>#DIV/0!</v>
      </c>
    </row>
    <row r="484" spans="1:20" ht="21.75" customHeight="1">
      <c r="A484" s="57"/>
      <c r="B484" s="57" t="s">
        <v>128</v>
      </c>
      <c r="C484" s="48"/>
      <c r="D484" s="108">
        <v>45744</v>
      </c>
      <c r="F484" s="25"/>
      <c r="G484" s="31"/>
      <c r="H484" s="164">
        <v>3109</v>
      </c>
      <c r="I484" s="189"/>
      <c r="J484" s="37"/>
      <c r="K484" s="138" t="s">
        <v>118</v>
      </c>
      <c r="L484" s="37"/>
      <c r="M484" s="323" t="e">
        <f>Tracking_SI[[#This Row],[Chênh lệch 
(thừa so với ĐH)]]/Tracking_SI[[#This Row],[Số  lượng trên ĐH]]</f>
        <v>#DIV/0!</v>
      </c>
    </row>
    <row r="485" spans="1:20" ht="21.75" customHeight="1">
      <c r="A485" s="57"/>
      <c r="B485" s="57" t="s">
        <v>128</v>
      </c>
      <c r="C485" s="48"/>
      <c r="D485" s="108">
        <v>45747</v>
      </c>
      <c r="F485" s="25"/>
      <c r="G485" s="31"/>
      <c r="H485" s="164">
        <v>2401</v>
      </c>
      <c r="I485" s="187"/>
      <c r="J485" s="37"/>
      <c r="K485" s="138" t="s">
        <v>118</v>
      </c>
      <c r="L485" s="37"/>
      <c r="M485" s="323" t="e">
        <f>Tracking_SI[[#This Row],[Chênh lệch 
(thừa so với ĐH)]]/Tracking_SI[[#This Row],[Số  lượng trên ĐH]]</f>
        <v>#DIV/0!</v>
      </c>
    </row>
    <row r="486" spans="1:20" ht="21.75" customHeight="1">
      <c r="A486" s="57"/>
      <c r="B486" s="57" t="s">
        <v>128</v>
      </c>
      <c r="C486" s="48"/>
      <c r="D486" s="108">
        <v>45752</v>
      </c>
      <c r="F486" s="25"/>
      <c r="G486" s="31"/>
      <c r="H486" s="164">
        <v>2748</v>
      </c>
      <c r="I486" s="187"/>
      <c r="J486" s="37"/>
      <c r="K486" s="138" t="s">
        <v>118</v>
      </c>
      <c r="L486" s="37"/>
      <c r="M486" s="323" t="e">
        <f>Tracking_SI[[#This Row],[Chênh lệch 
(thừa so với ĐH)]]/Tracking_SI[[#This Row],[Số  lượng trên ĐH]]</f>
        <v>#DIV/0!</v>
      </c>
    </row>
    <row r="487" spans="1:20" ht="21.75" customHeight="1">
      <c r="A487" s="58" t="s">
        <v>115</v>
      </c>
      <c r="B487" s="57" t="s">
        <v>128</v>
      </c>
      <c r="C487" s="48"/>
      <c r="D487" s="183">
        <v>45723</v>
      </c>
      <c r="E487" s="30" t="s">
        <v>56</v>
      </c>
      <c r="F487" s="28" t="s">
        <v>8</v>
      </c>
      <c r="G487" s="149">
        <v>15000</v>
      </c>
      <c r="H487" s="164">
        <f>SUM(H488:H498)</f>
        <v>15287</v>
      </c>
      <c r="I487" s="200">
        <f>G487-H487</f>
        <v>-287</v>
      </c>
      <c r="J487" s="150">
        <v>36100</v>
      </c>
      <c r="K487" s="195" t="s">
        <v>116</v>
      </c>
      <c r="L487" s="38"/>
      <c r="M487" s="323">
        <f>Tracking_SI[[#This Row],[Chênh lệch 
(thừa so với ĐH)]]/Tracking_SI[[#This Row],[Số  lượng trên ĐH]]</f>
        <v>-1.9133333333333332E-2</v>
      </c>
    </row>
    <row r="488" spans="1:20" ht="21.75" customHeight="1">
      <c r="A488" s="57"/>
      <c r="B488" s="57" t="s">
        <v>128</v>
      </c>
      <c r="C488" s="48"/>
      <c r="D488" s="108">
        <v>45752</v>
      </c>
      <c r="F488" s="30"/>
      <c r="G488" s="41"/>
      <c r="H488" s="164">
        <v>860</v>
      </c>
      <c r="I488" s="189"/>
      <c r="J488" s="42"/>
      <c r="K488" s="138" t="s">
        <v>118</v>
      </c>
      <c r="L488" s="42"/>
      <c r="M488" s="323" t="e">
        <f>Tracking_SI[[#This Row],[Chênh lệch 
(thừa so với ĐH)]]/Tracking_SI[[#This Row],[Số  lượng trên ĐH]]</f>
        <v>#DIV/0!</v>
      </c>
    </row>
    <row r="489" spans="1:20" ht="21" customHeight="1">
      <c r="A489" s="57"/>
      <c r="B489" s="57" t="s">
        <v>128</v>
      </c>
      <c r="C489" s="48"/>
      <c r="D489" s="108">
        <v>45752</v>
      </c>
      <c r="F489" s="30"/>
      <c r="G489" s="41"/>
      <c r="H489" s="164">
        <v>1926</v>
      </c>
      <c r="I489" s="186"/>
      <c r="J489" s="42"/>
      <c r="K489" s="138" t="s">
        <v>118</v>
      </c>
      <c r="L489" s="42"/>
      <c r="M489" s="323" t="e">
        <f>Tracking_SI[[#This Row],[Chênh lệch 
(thừa so với ĐH)]]/Tracking_SI[[#This Row],[Số  lượng trên ĐH]]</f>
        <v>#DIV/0!</v>
      </c>
      <c r="R489" t="s">
        <v>63</v>
      </c>
    </row>
    <row r="490" spans="1:20" ht="19.5" customHeight="1">
      <c r="A490" s="57"/>
      <c r="B490" s="57" t="s">
        <v>128</v>
      </c>
      <c r="C490" s="48"/>
      <c r="D490" s="108">
        <v>45757</v>
      </c>
      <c r="F490" s="30"/>
      <c r="G490" s="41"/>
      <c r="H490" s="164">
        <v>3121</v>
      </c>
      <c r="I490" s="186"/>
      <c r="J490" s="42"/>
      <c r="K490" s="138" t="s">
        <v>118</v>
      </c>
      <c r="L490" s="42"/>
      <c r="M490" s="323" t="e">
        <f>Tracking_SI[[#This Row],[Chênh lệch 
(thừa so với ĐH)]]/Tracking_SI[[#This Row],[Số  lượng trên ĐH]]</f>
        <v>#DIV/0!</v>
      </c>
      <c r="R490" s="16"/>
      <c r="S490" s="16"/>
      <c r="T490" s="9"/>
    </row>
    <row r="491" spans="1:20" ht="19.5" customHeight="1">
      <c r="A491" s="57"/>
      <c r="B491" s="57" t="s">
        <v>128</v>
      </c>
      <c r="C491" s="48"/>
      <c r="D491" s="108">
        <v>45766</v>
      </c>
      <c r="F491" s="30"/>
      <c r="G491" s="41"/>
      <c r="H491" s="164">
        <v>1926</v>
      </c>
      <c r="I491" s="189"/>
      <c r="J491" s="42"/>
      <c r="K491" s="138" t="s">
        <v>118</v>
      </c>
      <c r="L491" s="42"/>
      <c r="M491" s="323" t="e">
        <f>Tracking_SI[[#This Row],[Chênh lệch 
(thừa so với ĐH)]]/Tracking_SI[[#This Row],[Số  lượng trên ĐH]]</f>
        <v>#DIV/0!</v>
      </c>
      <c r="R491" s="16"/>
      <c r="S491" s="16"/>
      <c r="T491" s="9"/>
    </row>
    <row r="492" spans="1:20" ht="19.5" customHeight="1">
      <c r="A492" s="57"/>
      <c r="B492" s="57" t="s">
        <v>128</v>
      </c>
      <c r="C492" s="48"/>
      <c r="D492" s="108">
        <v>45769</v>
      </c>
      <c r="F492" s="30"/>
      <c r="G492" s="41"/>
      <c r="H492" s="164">
        <v>3126</v>
      </c>
      <c r="I492" s="189"/>
      <c r="J492" s="42"/>
      <c r="K492" s="138" t="s">
        <v>118</v>
      </c>
      <c r="L492" s="42"/>
      <c r="M492" s="323" t="e">
        <f>Tracking_SI[[#This Row],[Chênh lệch 
(thừa so với ĐH)]]/Tracking_SI[[#This Row],[Số  lượng trên ĐH]]</f>
        <v>#DIV/0!</v>
      </c>
      <c r="R492" s="16"/>
      <c r="S492" s="16"/>
      <c r="T492" s="9"/>
    </row>
    <row r="493" spans="1:20" ht="19.5" customHeight="1">
      <c r="A493" s="57"/>
      <c r="B493" s="57" t="s">
        <v>128</v>
      </c>
      <c r="C493" s="48"/>
      <c r="D493" s="108">
        <v>45769</v>
      </c>
      <c r="F493" s="30"/>
      <c r="G493" s="41"/>
      <c r="H493" s="164">
        <v>963</v>
      </c>
      <c r="I493" s="189"/>
      <c r="J493" s="42"/>
      <c r="K493" s="138" t="s">
        <v>118</v>
      </c>
      <c r="L493" s="42"/>
      <c r="M493" s="323" t="e">
        <f>Tracking_SI[[#This Row],[Chênh lệch 
(thừa so với ĐH)]]/Tracking_SI[[#This Row],[Số  lượng trên ĐH]]</f>
        <v>#DIV/0!</v>
      </c>
      <c r="R493" s="16"/>
      <c r="S493" s="16"/>
      <c r="T493" s="9"/>
    </row>
    <row r="494" spans="1:20" ht="19.5" customHeight="1">
      <c r="A494" s="57"/>
      <c r="B494" s="57" t="s">
        <v>128</v>
      </c>
      <c r="C494" s="48"/>
      <c r="D494" s="108">
        <v>45772</v>
      </c>
      <c r="F494" s="30"/>
      <c r="G494" s="41"/>
      <c r="H494" s="164">
        <v>720</v>
      </c>
      <c r="I494" s="189"/>
      <c r="J494" s="42"/>
      <c r="K494" s="138" t="s">
        <v>118</v>
      </c>
      <c r="L494" s="42"/>
      <c r="M494" s="323" t="e">
        <f>Tracking_SI[[#This Row],[Chênh lệch 
(thừa so với ĐH)]]/Tracking_SI[[#This Row],[Số  lượng trên ĐH]]</f>
        <v>#DIV/0!</v>
      </c>
      <c r="R494" s="16"/>
      <c r="S494" s="16"/>
      <c r="T494" s="9"/>
    </row>
    <row r="495" spans="1:20" ht="19.5" customHeight="1">
      <c r="A495" s="57"/>
      <c r="B495" s="57" t="s">
        <v>128</v>
      </c>
      <c r="C495" s="48"/>
      <c r="D495" s="108">
        <v>45773</v>
      </c>
      <c r="F495" s="30"/>
      <c r="G495" s="41"/>
      <c r="H495" s="164">
        <v>241</v>
      </c>
      <c r="I495" s="187"/>
      <c r="J495" s="42"/>
      <c r="K495" s="138" t="s">
        <v>118</v>
      </c>
      <c r="L495" s="42"/>
      <c r="M495" s="323" t="e">
        <f>Tracking_SI[[#This Row],[Chênh lệch 
(thừa so với ĐH)]]/Tracking_SI[[#This Row],[Số  lượng trên ĐH]]</f>
        <v>#DIV/0!</v>
      </c>
      <c r="R495" t="s">
        <v>65</v>
      </c>
    </row>
    <row r="496" spans="1:20" ht="19.5" customHeight="1">
      <c r="A496" s="57"/>
      <c r="B496" s="57" t="s">
        <v>128</v>
      </c>
      <c r="C496" s="48"/>
      <c r="D496" s="108">
        <v>45776</v>
      </c>
      <c r="F496" s="30"/>
      <c r="G496" s="41"/>
      <c r="H496" s="164">
        <v>723</v>
      </c>
      <c r="I496" s="187"/>
      <c r="J496" s="42"/>
      <c r="K496" s="138" t="s">
        <v>118</v>
      </c>
      <c r="L496" s="42"/>
      <c r="M496" s="323" t="e">
        <f>Tracking_SI[[#This Row],[Chênh lệch 
(thừa so với ĐH)]]/Tracking_SI[[#This Row],[Số  lượng trên ĐH]]</f>
        <v>#DIV/0!</v>
      </c>
    </row>
    <row r="497" spans="1:20" ht="19.5" customHeight="1">
      <c r="A497" s="57"/>
      <c r="B497" s="57" t="s">
        <v>128</v>
      </c>
      <c r="C497" s="48"/>
      <c r="D497" s="108">
        <v>45783</v>
      </c>
      <c r="F497" s="30"/>
      <c r="G497" s="41"/>
      <c r="H497" s="164">
        <v>480</v>
      </c>
      <c r="I497" s="187"/>
      <c r="J497" s="42"/>
      <c r="K497" s="138" t="s">
        <v>118</v>
      </c>
      <c r="L497" s="42"/>
      <c r="M497" s="323" t="e">
        <f>Tracking_SI[[#This Row],[Chênh lệch 
(thừa so với ĐH)]]/Tracking_SI[[#This Row],[Số  lượng trên ĐH]]</f>
        <v>#DIV/0!</v>
      </c>
    </row>
    <row r="498" spans="1:20" ht="19.5" customHeight="1">
      <c r="A498" s="57"/>
      <c r="B498" s="57" t="s">
        <v>128</v>
      </c>
      <c r="C498" s="48"/>
      <c r="D498" s="108">
        <v>45787</v>
      </c>
      <c r="F498" s="30"/>
      <c r="G498" s="41"/>
      <c r="H498" s="164">
        <v>1201</v>
      </c>
      <c r="I498" s="189"/>
      <c r="J498" s="42"/>
      <c r="K498" s="138" t="s">
        <v>118</v>
      </c>
      <c r="L498" s="42"/>
      <c r="M498" s="323" t="e">
        <f>Tracking_SI[[#This Row],[Chênh lệch 
(thừa so với ĐH)]]/Tracking_SI[[#This Row],[Số  lượng trên ĐH]]</f>
        <v>#DIV/0!</v>
      </c>
    </row>
    <row r="499" spans="1:20" ht="19.5" customHeight="1">
      <c r="A499" s="57" t="s">
        <v>115</v>
      </c>
      <c r="B499" s="57" t="s">
        <v>128</v>
      </c>
      <c r="C499" s="48"/>
      <c r="D499" s="341">
        <v>45768</v>
      </c>
      <c r="E499" s="342" t="s">
        <v>46</v>
      </c>
      <c r="F499" s="25" t="s">
        <v>8</v>
      </c>
      <c r="G499" s="347">
        <v>12000</v>
      </c>
      <c r="H499" s="340">
        <f>SUM(H500:H503)</f>
        <v>12732.5</v>
      </c>
      <c r="I499" s="340">
        <f>G499-H499</f>
        <v>-732.5</v>
      </c>
      <c r="J499" s="162">
        <f>Tracking_SI[[#This Row],[Số  lượng trên ĐH]]-Tracking_SI[[#This Row],[Số  lượng giao]]</f>
        <v>-732.5</v>
      </c>
      <c r="K499" s="330" t="s">
        <v>116</v>
      </c>
      <c r="L499" s="38"/>
      <c r="M499" s="323">
        <f>Tracking_SI[[#This Row],[Chênh lệch 
(thừa so với ĐH)]]/Tracking_SI[[#This Row],[Số  lượng trên ĐH]]</f>
        <v>-6.1041666666666668E-2</v>
      </c>
    </row>
    <row r="500" spans="1:20" ht="19.5" customHeight="1">
      <c r="A500" s="57"/>
      <c r="B500" s="57" t="s">
        <v>128</v>
      </c>
      <c r="C500" s="48"/>
      <c r="D500" s="108">
        <v>45793</v>
      </c>
      <c r="E500" s="30" t="s">
        <v>46</v>
      </c>
      <c r="F500" s="30"/>
      <c r="G500" s="41"/>
      <c r="H500" s="164">
        <v>1438</v>
      </c>
      <c r="I500" s="186"/>
      <c r="J500" s="42"/>
      <c r="K500" s="138" t="s">
        <v>118</v>
      </c>
      <c r="L500" s="42"/>
      <c r="M500" s="323" t="e">
        <f>Tracking_SI[[#This Row],[Chênh lệch 
(thừa so với ĐH)]]/Tracking_SI[[#This Row],[Số  lượng trên ĐH]]</f>
        <v>#DIV/0!</v>
      </c>
    </row>
    <row r="501" spans="1:20" ht="19.5" customHeight="1">
      <c r="A501" s="57"/>
      <c r="B501" s="57" t="s">
        <v>128</v>
      </c>
      <c r="C501" s="48"/>
      <c r="D501" s="108">
        <v>45801</v>
      </c>
      <c r="E501" s="30" t="s">
        <v>46</v>
      </c>
      <c r="F501" s="30"/>
      <c r="G501" s="41"/>
      <c r="H501" s="164">
        <v>1906</v>
      </c>
      <c r="I501" s="189"/>
      <c r="J501" s="42"/>
      <c r="K501" s="138" t="s">
        <v>118</v>
      </c>
      <c r="L501" s="42"/>
      <c r="M501" s="323" t="e">
        <f>Tracking_SI[[#This Row],[Chênh lệch 
(thừa so với ĐH)]]/Tracking_SI[[#This Row],[Số  lượng trên ĐH]]</f>
        <v>#DIV/0!</v>
      </c>
    </row>
    <row r="502" spans="1:20" ht="19.5" customHeight="1">
      <c r="A502" s="57"/>
      <c r="B502" s="57" t="s">
        <v>128</v>
      </c>
      <c r="C502" s="48"/>
      <c r="D502" s="108">
        <v>45845</v>
      </c>
      <c r="E502" s="30" t="s">
        <v>46</v>
      </c>
      <c r="F502" s="30"/>
      <c r="G502" s="41"/>
      <c r="H502" s="164">
        <v>7207.5</v>
      </c>
      <c r="I502" s="189"/>
      <c r="J502" s="42"/>
      <c r="K502" s="138" t="s">
        <v>118</v>
      </c>
      <c r="L502" s="42"/>
      <c r="M502" s="323" t="e">
        <f>Tracking_SI[[#This Row],[Chênh lệch 
(thừa so với ĐH)]]/Tracking_SI[[#This Row],[Số  lượng trên ĐH]]</f>
        <v>#DIV/0!</v>
      </c>
    </row>
    <row r="503" spans="1:20" ht="19.5" customHeight="1">
      <c r="A503" s="57"/>
      <c r="B503" s="57" t="s">
        <v>128</v>
      </c>
      <c r="C503" s="48"/>
      <c r="D503" s="108">
        <v>46081</v>
      </c>
      <c r="E503" s="364" t="s">
        <v>46</v>
      </c>
      <c r="F503" s="30"/>
      <c r="G503" s="41"/>
      <c r="H503" s="164">
        <v>2181</v>
      </c>
      <c r="I503" s="189"/>
      <c r="J503" s="42"/>
      <c r="K503" s="138" t="s">
        <v>118</v>
      </c>
      <c r="L503" s="42"/>
      <c r="M503" s="323" t="e">
        <f>Tracking_SI[[#This Row],[Chênh lệch 
(thừa so với ĐH)]]/Tracking_SI[[#This Row],[Số  lượng trên ĐH]]</f>
        <v>#DIV/0!</v>
      </c>
    </row>
    <row r="504" spans="1:20" ht="19.5" customHeight="1">
      <c r="A504" s="57" t="s">
        <v>115</v>
      </c>
      <c r="B504" s="57" t="s">
        <v>128</v>
      </c>
      <c r="C504" s="48"/>
      <c r="D504" s="341">
        <v>46007</v>
      </c>
      <c r="E504" s="342" t="s">
        <v>189</v>
      </c>
      <c r="F504" s="375"/>
      <c r="G504" s="347">
        <v>12000</v>
      </c>
      <c r="H504" s="340">
        <f>SUM(H505:H510)</f>
        <v>12000</v>
      </c>
      <c r="I504" s="186">
        <f>Tracking_SI[[#This Row],[Số  lượng trên ĐH]]-Tracking_SI[[#This Row],[Số  lượng giao]]</f>
        <v>0</v>
      </c>
      <c r="J504" s="162">
        <f>Tracking_SI[[#This Row],[Số  lượng trên ĐH]]-Tracking_SI[[#This Row],[Số  lượng giao]]</f>
        <v>0</v>
      </c>
      <c r="K504" s="140"/>
      <c r="L504" s="42"/>
      <c r="M504" s="323">
        <f>Tracking_SI[[#This Row],[Chênh lệch 
(thừa so với ĐH)]]/Tracking_SI[[#This Row],[Số  lượng trên ĐH]]</f>
        <v>0</v>
      </c>
    </row>
    <row r="505" spans="1:20" ht="19.5" customHeight="1">
      <c r="A505" s="57"/>
      <c r="B505" s="57" t="s">
        <v>128</v>
      </c>
      <c r="C505" s="48"/>
      <c r="D505" s="108">
        <v>46093</v>
      </c>
      <c r="E505" s="30" t="s">
        <v>189</v>
      </c>
      <c r="F505" s="30"/>
      <c r="G505" s="45"/>
      <c r="H505" s="344">
        <v>3644</v>
      </c>
      <c r="I505" s="186"/>
      <c r="J505" s="42"/>
      <c r="K505" s="140"/>
      <c r="L505" s="42"/>
      <c r="M505" s="323" t="e">
        <f>Tracking_SI[[#This Row],[Chênh lệch 
(thừa so với ĐH)]]/Tracking_SI[[#This Row],[Số  lượng trên ĐH]]</f>
        <v>#DIV/0!</v>
      </c>
    </row>
    <row r="506" spans="1:20" ht="19.5" customHeight="1">
      <c r="A506" s="57"/>
      <c r="B506" s="57" t="s">
        <v>128</v>
      </c>
      <c r="C506" s="48"/>
      <c r="D506" s="108">
        <v>46104</v>
      </c>
      <c r="E506" s="27" t="s">
        <v>189</v>
      </c>
      <c r="F506" s="30"/>
      <c r="G506" s="45"/>
      <c r="H506" s="164">
        <v>4148</v>
      </c>
      <c r="I506" s="186"/>
      <c r="J506" s="42"/>
      <c r="K506" s="140"/>
      <c r="L506" s="42"/>
      <c r="M506" s="323" t="e">
        <f>Tracking_SI[[#This Row],[Chênh lệch 
(thừa so với ĐH)]]/Tracking_SI[[#This Row],[Số  lượng trên ĐH]]</f>
        <v>#DIV/0!</v>
      </c>
    </row>
    <row r="507" spans="1:20" ht="19.5" customHeight="1">
      <c r="A507" s="57"/>
      <c r="B507" s="57" t="s">
        <v>128</v>
      </c>
      <c r="C507" s="48"/>
      <c r="D507" s="108">
        <v>46107</v>
      </c>
      <c r="E507" s="27" t="s">
        <v>189</v>
      </c>
      <c r="F507" s="30"/>
      <c r="G507" s="45"/>
      <c r="H507" s="164">
        <v>738</v>
      </c>
      <c r="I507" s="186"/>
      <c r="J507" s="42"/>
      <c r="K507" s="140"/>
      <c r="L507" s="42"/>
      <c r="M507" s="323" t="e">
        <f>Tracking_SI[[#This Row],[Chênh lệch 
(thừa so với ĐH)]]/Tracking_SI[[#This Row],[Số  lượng trên ĐH]]</f>
        <v>#DIV/0!</v>
      </c>
      <c r="T507" s="9"/>
    </row>
    <row r="508" spans="1:20" ht="19.5" customHeight="1">
      <c r="A508" s="57"/>
      <c r="B508" s="57" t="s">
        <v>128</v>
      </c>
      <c r="C508" s="48"/>
      <c r="D508" s="108">
        <v>46113</v>
      </c>
      <c r="E508" s="30" t="s">
        <v>189</v>
      </c>
      <c r="F508" s="30"/>
      <c r="G508" s="45"/>
      <c r="H508" s="344">
        <v>1466</v>
      </c>
      <c r="I508" s="186"/>
      <c r="J508" s="42"/>
      <c r="K508" s="140"/>
      <c r="L508" s="42"/>
      <c r="M508" s="323" t="e">
        <f>Tracking_SI[[#This Row],[Chênh lệch 
(thừa so với ĐH)]]/Tracking_SI[[#This Row],[Số  lượng trên ĐH]]</f>
        <v>#DIV/0!</v>
      </c>
      <c r="T508" s="9"/>
    </row>
    <row r="509" spans="1:20" ht="19.5" customHeight="1">
      <c r="A509" s="57"/>
      <c r="B509" s="57" t="s">
        <v>128</v>
      </c>
      <c r="C509" s="48"/>
      <c r="D509" s="108">
        <v>46126</v>
      </c>
      <c r="E509" s="27" t="s">
        <v>189</v>
      </c>
      <c r="F509" s="30"/>
      <c r="G509" s="45"/>
      <c r="H509" s="463">
        <v>1446</v>
      </c>
      <c r="I509" s="186"/>
      <c r="J509" s="42"/>
      <c r="K509" s="140"/>
      <c r="L509" s="42"/>
      <c r="M509" s="323" t="e">
        <f>Tracking_SI[[#This Row],[Chênh lệch 
(thừa so với ĐH)]]/Tracking_SI[[#This Row],[Số  lượng trên ĐH]]</f>
        <v>#DIV/0!</v>
      </c>
      <c r="T509" s="9"/>
    </row>
    <row r="510" spans="1:20" ht="19.5" customHeight="1">
      <c r="A510" s="57" t="s">
        <v>118</v>
      </c>
      <c r="B510" s="57" t="s">
        <v>128</v>
      </c>
      <c r="C510" s="48"/>
      <c r="D510" s="108">
        <v>46129</v>
      </c>
      <c r="E510" s="27" t="s">
        <v>189</v>
      </c>
      <c r="F510" s="30"/>
      <c r="G510" s="45"/>
      <c r="H510" s="463">
        <v>558</v>
      </c>
      <c r="I510" s="186"/>
      <c r="J510" s="42"/>
      <c r="K510" s="140"/>
      <c r="L510" s="42"/>
      <c r="M510" s="323" t="e">
        <f>Tracking_SI[[#This Row],[Chênh lệch 
(thừa so với ĐH)]]/Tracking_SI[[#This Row],[Số  lượng trên ĐH]]</f>
        <v>#DIV/0!</v>
      </c>
      <c r="T510" s="9"/>
    </row>
    <row r="511" spans="1:20" ht="19.5" customHeight="1">
      <c r="A511" s="57" t="s">
        <v>115</v>
      </c>
      <c r="B511" s="57" t="s">
        <v>128</v>
      </c>
      <c r="C511" s="48"/>
      <c r="D511" s="341">
        <v>46083</v>
      </c>
      <c r="E511" s="342" t="s">
        <v>211</v>
      </c>
      <c r="F511" s="342" t="s">
        <v>211</v>
      </c>
      <c r="G511" s="347">
        <v>15000</v>
      </c>
      <c r="H511" s="340">
        <f>SUM(H512:H515)</f>
        <v>2333</v>
      </c>
      <c r="I511" s="186"/>
      <c r="J511" s="162">
        <f>Tracking_SI[[#This Row],[Số  lượng trên ĐH]]-Tracking_SI[[#This Row],[Số  lượng giao]]</f>
        <v>12667</v>
      </c>
      <c r="K511" s="140"/>
      <c r="L511" s="42"/>
      <c r="M511" s="323">
        <f>Tracking_SI[[#This Row],[Chênh lệch 
(thừa so với ĐH)]]/Tracking_SI[[#This Row],[Số  lượng trên ĐH]]</f>
        <v>0</v>
      </c>
      <c r="T511" s="9"/>
    </row>
    <row r="512" spans="1:20" ht="19.5" customHeight="1">
      <c r="A512" s="57" t="s">
        <v>118</v>
      </c>
      <c r="B512" s="57" t="s">
        <v>128</v>
      </c>
      <c r="C512" s="48"/>
      <c r="D512" s="108">
        <v>46129</v>
      </c>
      <c r="E512" s="27" t="s">
        <v>211</v>
      </c>
      <c r="F512" s="30" t="s">
        <v>211</v>
      </c>
      <c r="G512" s="45"/>
      <c r="H512" s="164">
        <f>2891-H510</f>
        <v>2333</v>
      </c>
      <c r="I512" s="186"/>
      <c r="J512" s="42"/>
      <c r="K512" s="140"/>
      <c r="L512" s="42"/>
      <c r="M512" s="323" t="e">
        <f>Tracking_SI[[#This Row],[Chênh lệch 
(thừa so với ĐH)]]/Tracking_SI[[#This Row],[Số  lượng trên ĐH]]</f>
        <v>#DIV/0!</v>
      </c>
      <c r="T512" s="9"/>
    </row>
    <row r="513" spans="1:13" ht="19.5" customHeight="1">
      <c r="A513" s="57"/>
      <c r="B513" s="57" t="s">
        <v>128</v>
      </c>
      <c r="C513" s="48"/>
      <c r="D513" s="108"/>
      <c r="E513" s="30" t="s">
        <v>211</v>
      </c>
      <c r="F513" s="30" t="s">
        <v>211</v>
      </c>
      <c r="G513" s="41"/>
      <c r="H513" s="164"/>
      <c r="I513" s="189"/>
      <c r="J513" s="42"/>
      <c r="K513" s="140"/>
      <c r="L513" s="42"/>
      <c r="M513" s="323" t="e">
        <f>Tracking_SI[[#This Row],[Chênh lệch 
(thừa so với ĐH)]]/Tracking_SI[[#This Row],[Số  lượng trên ĐH]]</f>
        <v>#DIV/0!</v>
      </c>
    </row>
    <row r="514" spans="1:13" ht="19.5" customHeight="1">
      <c r="A514" s="57"/>
      <c r="B514" s="57" t="s">
        <v>128</v>
      </c>
      <c r="C514" s="48"/>
      <c r="D514" s="108"/>
      <c r="E514" s="30" t="s">
        <v>211</v>
      </c>
      <c r="F514" s="30" t="s">
        <v>211</v>
      </c>
      <c r="G514" s="41"/>
      <c r="H514" s="164"/>
      <c r="I514" s="189"/>
      <c r="J514" s="42"/>
      <c r="K514" s="140"/>
      <c r="L514" s="42"/>
      <c r="M514" s="323" t="e">
        <f>Tracking_SI[[#This Row],[Chênh lệch 
(thừa so với ĐH)]]/Tracking_SI[[#This Row],[Số  lượng trên ĐH]]</f>
        <v>#DIV/0!</v>
      </c>
    </row>
    <row r="515" spans="1:13" ht="19.5" customHeight="1">
      <c r="A515" s="57"/>
      <c r="B515" s="57" t="s">
        <v>128</v>
      </c>
      <c r="C515" s="48"/>
      <c r="D515" s="154"/>
      <c r="E515" s="30" t="s">
        <v>211</v>
      </c>
      <c r="F515" s="30" t="s">
        <v>211</v>
      </c>
      <c r="G515" s="201"/>
      <c r="H515" s="168"/>
      <c r="I515" s="336"/>
      <c r="J515" s="42"/>
      <c r="K515" s="140"/>
      <c r="L515" s="42"/>
      <c r="M515" s="323" t="e">
        <f>Tracking_SI[[#This Row],[Chênh lệch 
(thừa so với ĐH)]]/Tracking_SI[[#This Row],[Số  lượng trên ĐH]]</f>
        <v>#DIV/0!</v>
      </c>
    </row>
    <row r="516" spans="1:13" ht="19.5" customHeight="1">
      <c r="A516" s="58" t="s">
        <v>106</v>
      </c>
      <c r="B516" s="73" t="s">
        <v>132</v>
      </c>
      <c r="C516" s="74" t="s">
        <v>131</v>
      </c>
      <c r="D516" s="117"/>
      <c r="E516" s="75"/>
      <c r="F516" s="80"/>
      <c r="G516" s="75"/>
      <c r="H516" s="75"/>
      <c r="I516" s="204"/>
      <c r="J516" s="78"/>
      <c r="K516" s="137"/>
      <c r="L516" s="77"/>
      <c r="M516" s="323" t="e">
        <f>Tracking_SI[[#This Row],[Chênh lệch 
(thừa so với ĐH)]]/Tracking_SI[[#This Row],[Số  lượng trên ĐH]]</f>
        <v>#DIV/0!</v>
      </c>
    </row>
    <row r="517" spans="1:13" ht="19.5" customHeight="1">
      <c r="A517" s="58" t="s">
        <v>115</v>
      </c>
      <c r="B517" s="57" t="s">
        <v>132</v>
      </c>
      <c r="C517" s="48"/>
      <c r="D517" s="183">
        <v>45680</v>
      </c>
      <c r="E517" s="30" t="s">
        <v>59</v>
      </c>
      <c r="F517" s="28" t="s">
        <v>8</v>
      </c>
      <c r="G517" s="149">
        <v>12000</v>
      </c>
      <c r="H517" s="179">
        <f>SUM(H518:H522)</f>
        <v>12000</v>
      </c>
      <c r="I517" s="199">
        <f>G517-H517</f>
        <v>0</v>
      </c>
      <c r="J517" s="150">
        <v>36100</v>
      </c>
      <c r="K517" s="195" t="s">
        <v>116</v>
      </c>
      <c r="L517" s="43"/>
      <c r="M517" s="323">
        <f>Tracking_SI[[#This Row],[Chênh lệch 
(thừa so với ĐH)]]/Tracking_SI[[#This Row],[Số  lượng trên ĐH]]</f>
        <v>0</v>
      </c>
    </row>
    <row r="518" spans="1:13" ht="19.5" customHeight="1">
      <c r="A518" s="57"/>
      <c r="B518" s="57" t="s">
        <v>132</v>
      </c>
      <c r="C518" s="48"/>
      <c r="D518" s="108">
        <v>45698</v>
      </c>
      <c r="F518" s="25"/>
      <c r="G518" s="30"/>
      <c r="H518" s="177">
        <v>1723</v>
      </c>
      <c r="I518" s="189"/>
      <c r="J518" s="37"/>
      <c r="K518" s="138" t="s">
        <v>118</v>
      </c>
      <c r="L518" s="37"/>
      <c r="M518" s="323" t="e">
        <f>Tracking_SI[[#This Row],[Chênh lệch 
(thừa so với ĐH)]]/Tracking_SI[[#This Row],[Số  lượng trên ĐH]]</f>
        <v>#DIV/0!</v>
      </c>
    </row>
    <row r="519" spans="1:13" ht="19.5" customHeight="1">
      <c r="A519" s="57"/>
      <c r="B519" s="57" t="s">
        <v>132</v>
      </c>
      <c r="C519" s="48"/>
      <c r="D519" s="108">
        <v>45699</v>
      </c>
      <c r="F519" s="25"/>
      <c r="G519" s="30"/>
      <c r="H519" s="177">
        <v>3176</v>
      </c>
      <c r="I519" s="189"/>
      <c r="J519" s="37"/>
      <c r="K519" s="138" t="s">
        <v>118</v>
      </c>
      <c r="L519" s="37"/>
      <c r="M519" s="323" t="e">
        <f>Tracking_SI[[#This Row],[Chênh lệch 
(thừa so với ĐH)]]/Tracking_SI[[#This Row],[Số  lượng trên ĐH]]</f>
        <v>#DIV/0!</v>
      </c>
    </row>
    <row r="520" spans="1:13" ht="19.5" customHeight="1">
      <c r="A520" s="57"/>
      <c r="B520" s="57" t="s">
        <v>132</v>
      </c>
      <c r="C520" s="48"/>
      <c r="D520" s="108">
        <v>45701</v>
      </c>
      <c r="F520" s="25"/>
      <c r="G520" s="30"/>
      <c r="H520" s="177">
        <v>1158</v>
      </c>
      <c r="I520" s="189"/>
      <c r="J520" s="37"/>
      <c r="K520" s="138" t="s">
        <v>118</v>
      </c>
      <c r="L520" s="37"/>
      <c r="M520" s="323" t="e">
        <f>Tracking_SI[[#This Row],[Chênh lệch 
(thừa so với ĐH)]]/Tracking_SI[[#This Row],[Số  lượng trên ĐH]]</f>
        <v>#DIV/0!</v>
      </c>
    </row>
    <row r="521" spans="1:13" ht="19.5" customHeight="1">
      <c r="A521" s="57"/>
      <c r="B521" s="57" t="s">
        <v>132</v>
      </c>
      <c r="C521" s="48"/>
      <c r="D521" s="108">
        <v>45703</v>
      </c>
      <c r="F521" s="25"/>
      <c r="G521" s="30"/>
      <c r="H521" s="177">
        <v>1733</v>
      </c>
      <c r="I521" s="187"/>
      <c r="J521" s="37"/>
      <c r="K521" s="138" t="s">
        <v>118</v>
      </c>
      <c r="L521" s="37"/>
      <c r="M521" s="323" t="e">
        <f>Tracking_SI[[#This Row],[Chênh lệch 
(thừa so với ĐH)]]/Tracking_SI[[#This Row],[Số  lượng trên ĐH]]</f>
        <v>#DIV/0!</v>
      </c>
    </row>
    <row r="522" spans="1:13" ht="19.5" customHeight="1">
      <c r="A522" s="57"/>
      <c r="B522" s="57" t="s">
        <v>132</v>
      </c>
      <c r="C522" s="48"/>
      <c r="D522" s="108">
        <v>45716</v>
      </c>
      <c r="F522" s="25"/>
      <c r="G522" s="30"/>
      <c r="H522" s="177">
        <v>4210</v>
      </c>
      <c r="I522" s="186"/>
      <c r="J522" s="37"/>
      <c r="K522" s="138" t="s">
        <v>118</v>
      </c>
      <c r="L522" s="37"/>
      <c r="M522" s="323" t="e">
        <f>Tracking_SI[[#This Row],[Chênh lệch 
(thừa so với ĐH)]]/Tracking_SI[[#This Row],[Số  lượng trên ĐH]]</f>
        <v>#DIV/0!</v>
      </c>
    </row>
    <row r="523" spans="1:13" ht="19.5" customHeight="1">
      <c r="A523" s="58" t="s">
        <v>115</v>
      </c>
      <c r="B523" s="57" t="s">
        <v>132</v>
      </c>
      <c r="C523" s="48"/>
      <c r="D523" s="113">
        <v>45706</v>
      </c>
      <c r="E523" s="309" t="s">
        <v>60</v>
      </c>
      <c r="F523" s="25" t="s">
        <v>8</v>
      </c>
      <c r="G523" s="29">
        <v>12000</v>
      </c>
      <c r="H523" s="165">
        <f>SUM(H524:H527)</f>
        <v>11294</v>
      </c>
      <c r="I523" s="262">
        <f>G523-H523</f>
        <v>706</v>
      </c>
      <c r="J523" s="29">
        <v>36100</v>
      </c>
      <c r="K523" s="127" t="s">
        <v>116</v>
      </c>
      <c r="L523" s="24"/>
      <c r="M523" s="323">
        <f>Tracking_SI[[#This Row],[Chênh lệch 
(thừa so với ĐH)]]/Tracking_SI[[#This Row],[Số  lượng trên ĐH]]</f>
        <v>5.8833333333333335E-2</v>
      </c>
    </row>
    <row r="524" spans="1:13" ht="19.5" customHeight="1">
      <c r="A524" s="57"/>
      <c r="B524" s="57" t="s">
        <v>132</v>
      </c>
      <c r="C524" s="48"/>
      <c r="D524" s="108">
        <v>45716</v>
      </c>
      <c r="E524" s="30" t="s">
        <v>60</v>
      </c>
      <c r="F524" s="25"/>
      <c r="G524" s="31"/>
      <c r="H524" s="166">
        <v>6135</v>
      </c>
      <c r="I524" s="187"/>
      <c r="J524" s="32"/>
      <c r="K524" s="138" t="s">
        <v>118</v>
      </c>
      <c r="L524" s="32"/>
      <c r="M524" s="323" t="e">
        <f>Tracking_SI[[#This Row],[Chênh lệch 
(thừa so với ĐH)]]/Tracking_SI[[#This Row],[Số  lượng trên ĐH]]</f>
        <v>#DIV/0!</v>
      </c>
    </row>
    <row r="525" spans="1:13" ht="19.5" customHeight="1">
      <c r="A525" s="57"/>
      <c r="B525" s="57" t="s">
        <v>132</v>
      </c>
      <c r="C525" s="48"/>
      <c r="D525" s="108">
        <v>45729</v>
      </c>
      <c r="E525" s="30" t="s">
        <v>60</v>
      </c>
      <c r="F525" s="25"/>
      <c r="G525" s="31"/>
      <c r="H525" s="166">
        <v>2292</v>
      </c>
      <c r="I525" s="187"/>
      <c r="J525" s="32"/>
      <c r="K525" s="138" t="s">
        <v>118</v>
      </c>
      <c r="L525" s="32"/>
      <c r="M525" s="323" t="e">
        <f>Tracking_SI[[#This Row],[Chênh lệch 
(thừa so với ĐH)]]/Tracking_SI[[#This Row],[Số  lượng trên ĐH]]</f>
        <v>#DIV/0!</v>
      </c>
    </row>
    <row r="526" spans="1:13" ht="19.5" customHeight="1">
      <c r="A526" s="57"/>
      <c r="B526" s="57" t="s">
        <v>132</v>
      </c>
      <c r="C526" s="48"/>
      <c r="D526" s="108">
        <v>45731</v>
      </c>
      <c r="E526" s="30" t="s">
        <v>60</v>
      </c>
      <c r="F526" s="25"/>
      <c r="G526" s="31"/>
      <c r="H526" s="166">
        <v>575</v>
      </c>
      <c r="I526" s="187"/>
      <c r="J526" s="32"/>
      <c r="K526" s="138" t="s">
        <v>118</v>
      </c>
      <c r="L526" s="32"/>
      <c r="M526" s="323" t="e">
        <f>Tracking_SI[[#This Row],[Chênh lệch 
(thừa so với ĐH)]]/Tracking_SI[[#This Row],[Số  lượng trên ĐH]]</f>
        <v>#DIV/0!</v>
      </c>
    </row>
    <row r="527" spans="1:13" ht="19.5" customHeight="1">
      <c r="A527" s="57"/>
      <c r="B527" s="57" t="s">
        <v>132</v>
      </c>
      <c r="C527" s="48"/>
      <c r="D527" s="108">
        <v>45827</v>
      </c>
      <c r="E527" s="30" t="s">
        <v>60</v>
      </c>
      <c r="F527" s="25"/>
      <c r="G527" s="31"/>
      <c r="H527" s="166">
        <v>2292</v>
      </c>
      <c r="I527" s="187"/>
      <c r="J527" s="32"/>
      <c r="K527" s="138" t="s">
        <v>118</v>
      </c>
      <c r="L527" s="32"/>
      <c r="M527" s="323" t="e">
        <f>Tracking_SI[[#This Row],[Chênh lệch 
(thừa so với ĐH)]]/Tracking_SI[[#This Row],[Số  lượng trên ĐH]]</f>
        <v>#DIV/0!</v>
      </c>
    </row>
    <row r="528" spans="1:13" ht="19.5" customHeight="1">
      <c r="A528" s="58" t="s">
        <v>115</v>
      </c>
      <c r="B528" s="57" t="s">
        <v>132</v>
      </c>
      <c r="C528" s="48"/>
      <c r="D528" s="159">
        <v>45723</v>
      </c>
      <c r="E528" s="310" t="s">
        <v>61</v>
      </c>
      <c r="F528" s="156">
        <v>10000</v>
      </c>
      <c r="G528" s="212">
        <v>10000</v>
      </c>
      <c r="H528" s="263">
        <f>SUM(H529:H532)</f>
        <v>6033</v>
      </c>
      <c r="I528" s="264">
        <f>Tracking_SI[[#This Row],[Số  lượng trên ĐH]]-Tracking_SI[[#This Row],[Số  lượng giao]]</f>
        <v>3967</v>
      </c>
      <c r="J528" s="162">
        <v>36100</v>
      </c>
      <c r="K528" s="265"/>
      <c r="L528" s="32"/>
      <c r="M528" s="323">
        <f>Tracking_SI[[#This Row],[Chênh lệch 
(thừa so với ĐH)]]/Tracking_SI[[#This Row],[Số  lượng trên ĐH]]</f>
        <v>0.3967</v>
      </c>
    </row>
    <row r="529" spans="1:13" ht="18.75" customHeight="1">
      <c r="A529" s="57"/>
      <c r="B529" s="57" t="s">
        <v>132</v>
      </c>
      <c r="C529" s="261"/>
      <c r="D529" s="108">
        <v>46008</v>
      </c>
      <c r="E529" s="30" t="s">
        <v>61</v>
      </c>
      <c r="F529" s="25"/>
      <c r="G529" s="31"/>
      <c r="H529" s="166">
        <v>6033</v>
      </c>
      <c r="I529" s="187"/>
      <c r="J529" s="32"/>
      <c r="K529" s="133"/>
      <c r="L529" s="32"/>
      <c r="M529" s="323" t="e">
        <f>Tracking_SI[[#This Row],[Chênh lệch 
(thừa so với ĐH)]]/Tracking_SI[[#This Row],[Số  lượng trên ĐH]]</f>
        <v>#DIV/0!</v>
      </c>
    </row>
    <row r="530" spans="1:13" ht="18.75" customHeight="1">
      <c r="A530" s="57"/>
      <c r="B530" s="57" t="s">
        <v>132</v>
      </c>
      <c r="C530" s="261"/>
      <c r="D530" s="108"/>
      <c r="E530" s="30" t="s">
        <v>61</v>
      </c>
      <c r="F530" s="25"/>
      <c r="G530" s="31"/>
      <c r="H530" s="166"/>
      <c r="I530" s="187"/>
      <c r="J530" s="32"/>
      <c r="K530" s="133"/>
      <c r="L530" s="32"/>
      <c r="M530" s="323" t="e">
        <f>Tracking_SI[[#This Row],[Chênh lệch 
(thừa so với ĐH)]]/Tracking_SI[[#This Row],[Số  lượng trên ĐH]]</f>
        <v>#DIV/0!</v>
      </c>
    </row>
    <row r="531" spans="1:13" ht="18.75" customHeight="1">
      <c r="A531" s="57"/>
      <c r="B531" s="57" t="s">
        <v>132</v>
      </c>
      <c r="C531" s="261"/>
      <c r="D531" s="108"/>
      <c r="E531" s="30" t="s">
        <v>61</v>
      </c>
      <c r="F531" s="25"/>
      <c r="G531" s="31"/>
      <c r="H531" s="166"/>
      <c r="I531" s="187"/>
      <c r="J531" s="32"/>
      <c r="K531" s="133"/>
      <c r="L531" s="32"/>
      <c r="M531" s="323" t="e">
        <f>Tracking_SI[[#This Row],[Chênh lệch 
(thừa so với ĐH)]]/Tracking_SI[[#This Row],[Số  lượng trên ĐH]]</f>
        <v>#DIV/0!</v>
      </c>
    </row>
    <row r="532" spans="1:13" ht="18.75" customHeight="1">
      <c r="A532" s="58"/>
      <c r="B532" s="57" t="s">
        <v>132</v>
      </c>
      <c r="C532" s="48"/>
      <c r="D532" s="154"/>
      <c r="E532" s="30" t="s">
        <v>61</v>
      </c>
      <c r="F532" s="155" t="s">
        <v>8</v>
      </c>
      <c r="G532" s="156"/>
      <c r="H532" s="168"/>
      <c r="I532" s="202"/>
      <c r="J532" s="157"/>
      <c r="K532" s="182"/>
      <c r="L532" s="24"/>
      <c r="M532" s="323" t="e">
        <f>Tracking_SI[[#This Row],[Chênh lệch 
(thừa so với ĐH)]]/Tracking_SI[[#This Row],[Số  lượng trên ĐH]]</f>
        <v>#DIV/0!</v>
      </c>
    </row>
    <row r="533" spans="1:13" ht="18.75" customHeight="1">
      <c r="A533" s="57"/>
      <c r="B533" s="57" t="s">
        <v>132</v>
      </c>
      <c r="C533" s="152"/>
      <c r="D533" s="116"/>
      <c r="F533" s="30"/>
      <c r="G533" s="30"/>
      <c r="H533" s="239"/>
      <c r="I533" s="189"/>
      <c r="J533" s="37"/>
      <c r="K533" s="139"/>
      <c r="L533" s="32"/>
      <c r="M533" s="323" t="e">
        <f>Tracking_SI[[#This Row],[Chênh lệch 
(thừa so với ĐH)]]/Tracking_SI[[#This Row],[Số  lượng trên ĐH]]</f>
        <v>#DIV/0!</v>
      </c>
    </row>
    <row r="534" spans="1:13" ht="18.75" customHeight="1">
      <c r="A534" s="57"/>
      <c r="B534" s="57" t="s">
        <v>132</v>
      </c>
      <c r="C534" s="152"/>
      <c r="D534" s="116"/>
      <c r="F534" s="30"/>
      <c r="G534" s="30"/>
      <c r="H534" s="239"/>
      <c r="I534" s="189"/>
      <c r="J534" s="37"/>
      <c r="K534" s="139"/>
      <c r="L534" s="32"/>
      <c r="M534" s="323" t="e">
        <f>Tracking_SI[[#This Row],[Chênh lệch 
(thừa so với ĐH)]]/Tracking_SI[[#This Row],[Số  lượng trên ĐH]]</f>
        <v>#DIV/0!</v>
      </c>
    </row>
    <row r="535" spans="1:13" ht="18.75" customHeight="1">
      <c r="A535" s="58" t="s">
        <v>106</v>
      </c>
      <c r="B535" s="81"/>
      <c r="C535" s="82" t="s">
        <v>62</v>
      </c>
      <c r="D535" s="118"/>
      <c r="E535" s="118"/>
      <c r="F535" s="118"/>
      <c r="G535" s="118"/>
      <c r="H535" s="118"/>
      <c r="I535" s="118"/>
      <c r="J535" s="118"/>
      <c r="K535" s="118"/>
      <c r="L535" s="85"/>
      <c r="M535" s="323" t="e">
        <f>Tracking_SI[[#This Row],[Chênh lệch 
(thừa so với ĐH)]]/Tracking_SI[[#This Row],[Số  lượng trên ĐH]]</f>
        <v>#DIV/0!</v>
      </c>
    </row>
    <row r="536" spans="1:13" ht="18.75" customHeight="1">
      <c r="A536" s="57"/>
      <c r="B536" s="57"/>
      <c r="C536" s="46"/>
      <c r="D536" s="108"/>
      <c r="F536" s="27"/>
      <c r="G536" s="26"/>
      <c r="H536" s="164"/>
      <c r="I536" s="189"/>
      <c r="J536" s="26"/>
      <c r="K536" s="131"/>
      <c r="L536" s="24"/>
      <c r="M536" s="323" t="e">
        <f>Tracking_SI[[#This Row],[Chênh lệch 
(thừa so với ĐH)]]/Tracking_SI[[#This Row],[Số  lượng trên ĐH]]</f>
        <v>#DIV/0!</v>
      </c>
    </row>
    <row r="537" spans="1:13" ht="18.75" customHeight="1">
      <c r="A537" s="57"/>
      <c r="B537" s="57"/>
      <c r="C537" s="46"/>
      <c r="D537" s="108"/>
      <c r="F537" s="30"/>
      <c r="G537" s="30"/>
      <c r="H537" s="169"/>
      <c r="I537" s="187"/>
      <c r="J537" s="37"/>
      <c r="K537" s="139"/>
      <c r="L537" s="37"/>
      <c r="M537" s="323" t="e">
        <f>Tracking_SI[[#This Row],[Chênh lệch 
(thừa so với ĐH)]]/Tracking_SI[[#This Row],[Số  lượng trên ĐH]]</f>
        <v>#DIV/0!</v>
      </c>
    </row>
    <row r="538" spans="1:13" ht="18.75" customHeight="1">
      <c r="A538" s="57"/>
      <c r="B538" s="57"/>
      <c r="C538" s="46"/>
      <c r="D538" s="108"/>
      <c r="F538" s="30"/>
      <c r="G538" s="31"/>
      <c r="H538" s="166"/>
      <c r="I538" s="187"/>
      <c r="J538" s="32"/>
      <c r="K538" s="133"/>
      <c r="L538" s="32"/>
      <c r="M538" s="323" t="e">
        <f>Tracking_SI[[#This Row],[Chênh lệch 
(thừa so với ĐH)]]/Tracking_SI[[#This Row],[Số  lượng trên ĐH]]</f>
        <v>#DIV/0!</v>
      </c>
    </row>
    <row r="539" spans="1:13" ht="18.75" customHeight="1">
      <c r="A539" s="57"/>
      <c r="B539" s="57"/>
      <c r="C539" s="46"/>
      <c r="D539" s="108"/>
      <c r="F539" s="30"/>
      <c r="G539" s="31"/>
      <c r="H539" s="166"/>
      <c r="I539" s="187"/>
      <c r="J539" s="32"/>
      <c r="K539" s="133"/>
      <c r="L539" s="32"/>
      <c r="M539" s="323" t="e">
        <f>Tracking_SI[[#This Row],[Chênh lệch 
(thừa so với ĐH)]]/Tracking_SI[[#This Row],[Số  lượng trên ĐH]]</f>
        <v>#DIV/0!</v>
      </c>
    </row>
    <row r="540" spans="1:13" ht="18.75" customHeight="1">
      <c r="A540" s="57"/>
      <c r="B540" s="57"/>
      <c r="C540" s="46"/>
      <c r="D540" s="108"/>
      <c r="F540" s="30"/>
      <c r="G540" s="31"/>
      <c r="H540" s="166"/>
      <c r="I540" s="187"/>
      <c r="J540" s="32"/>
      <c r="K540" s="133"/>
      <c r="L540" s="32"/>
      <c r="M540" s="323" t="e">
        <f>Tracking_SI[[#This Row],[Chênh lệch 
(thừa so với ĐH)]]/Tracking_SI[[#This Row],[Số  lượng trên ĐH]]</f>
        <v>#DIV/0!</v>
      </c>
    </row>
    <row r="541" spans="1:13" ht="18.75" customHeight="1">
      <c r="A541" s="57"/>
      <c r="B541" s="57"/>
      <c r="C541" s="46"/>
      <c r="D541" s="108"/>
      <c r="F541" s="30"/>
      <c r="G541" s="31"/>
      <c r="H541" s="166"/>
      <c r="I541" s="187"/>
      <c r="J541" s="32"/>
      <c r="K541" s="133"/>
      <c r="L541" s="32"/>
      <c r="M541" s="323" t="e">
        <f>Tracking_SI[[#This Row],[Chênh lệch 
(thừa so với ĐH)]]/Tracking_SI[[#This Row],[Số  lượng trên ĐH]]</f>
        <v>#DIV/0!</v>
      </c>
    </row>
    <row r="542" spans="1:13" ht="18.75" customHeight="1">
      <c r="A542" s="58" t="s">
        <v>106</v>
      </c>
      <c r="B542" s="81"/>
      <c r="C542" s="82" t="s">
        <v>64</v>
      </c>
      <c r="D542" s="118"/>
      <c r="E542" s="311"/>
      <c r="F542" s="86"/>
      <c r="G542" s="86"/>
      <c r="H542" s="86"/>
      <c r="I542" s="206"/>
      <c r="J542" s="85"/>
      <c r="K542" s="141"/>
      <c r="L542" s="85"/>
      <c r="M542" s="323" t="e">
        <f>Tracking_SI[[#This Row],[Chênh lệch 
(thừa so với ĐH)]]/Tracking_SI[[#This Row],[Số  lượng trên ĐH]]</f>
        <v>#DIV/0!</v>
      </c>
    </row>
    <row r="543" spans="1:13" ht="18.75" customHeight="1">
      <c r="A543" s="58" t="s">
        <v>115</v>
      </c>
      <c r="B543" s="57"/>
      <c r="C543" s="48"/>
      <c r="D543" s="111">
        <v>45532</v>
      </c>
      <c r="E543" s="309" t="s">
        <v>66</v>
      </c>
      <c r="F543" s="25" t="s">
        <v>8</v>
      </c>
      <c r="G543" s="24">
        <v>3257</v>
      </c>
      <c r="H543" s="175">
        <f>SUM(H544:H547)</f>
        <v>3044</v>
      </c>
      <c r="I543" s="192">
        <f>G543-H543</f>
        <v>213</v>
      </c>
      <c r="J543" s="24">
        <v>31700</v>
      </c>
      <c r="K543" s="127" t="s">
        <v>116</v>
      </c>
      <c r="L543" s="24"/>
      <c r="M543" s="323">
        <f>Tracking_SI[[#This Row],[Chênh lệch 
(thừa so với ĐH)]]/Tracking_SI[[#This Row],[Số  lượng trên ĐH]]</f>
        <v>6.5397605158120972E-2</v>
      </c>
    </row>
    <row r="544" spans="1:13" ht="18.75" customHeight="1">
      <c r="A544" s="57"/>
      <c r="B544" s="57"/>
      <c r="C544" s="48"/>
      <c r="D544" s="116">
        <v>45726</v>
      </c>
      <c r="E544" s="30">
        <v>313</v>
      </c>
      <c r="F544" s="30"/>
      <c r="G544" s="31"/>
      <c r="H544" s="177">
        <v>502</v>
      </c>
      <c r="I544" s="187"/>
      <c r="J544" s="32"/>
      <c r="K544" s="138" t="s">
        <v>118</v>
      </c>
      <c r="L544" s="32"/>
      <c r="M544" s="323" t="e">
        <f>Tracking_SI[[#This Row],[Chênh lệch 
(thừa so với ĐH)]]/Tracking_SI[[#This Row],[Số  lượng trên ĐH]]</f>
        <v>#DIV/0!</v>
      </c>
    </row>
    <row r="545" spans="1:13" ht="18.75" customHeight="1">
      <c r="A545" s="57"/>
      <c r="B545" s="57"/>
      <c r="C545" s="48"/>
      <c r="D545" s="116">
        <v>45729</v>
      </c>
      <c r="E545" s="30">
        <v>331</v>
      </c>
      <c r="F545" s="30"/>
      <c r="G545" s="31"/>
      <c r="H545" s="177">
        <v>507</v>
      </c>
      <c r="I545" s="189"/>
      <c r="J545" s="32"/>
      <c r="K545" s="138" t="s">
        <v>118</v>
      </c>
      <c r="L545" s="32"/>
      <c r="M545" s="323" t="e">
        <f>Tracking_SI[[#This Row],[Chênh lệch 
(thừa so với ĐH)]]/Tracking_SI[[#This Row],[Số  lượng trên ĐH]]</f>
        <v>#DIV/0!</v>
      </c>
    </row>
    <row r="546" spans="1:13" ht="18.75" customHeight="1">
      <c r="A546" s="57"/>
      <c r="B546" s="57"/>
      <c r="C546" s="48"/>
      <c r="D546" s="116">
        <v>45729</v>
      </c>
      <c r="E546" s="30">
        <v>333</v>
      </c>
      <c r="F546" s="30"/>
      <c r="G546" s="31"/>
      <c r="H546" s="177">
        <v>249</v>
      </c>
      <c r="I546" s="187"/>
      <c r="J546" s="32"/>
      <c r="K546" s="138" t="s">
        <v>118</v>
      </c>
      <c r="L546" s="32"/>
      <c r="M546" s="323" t="e">
        <f>Tracking_SI[[#This Row],[Chênh lệch 
(thừa so với ĐH)]]/Tracking_SI[[#This Row],[Số  lượng trên ĐH]]</f>
        <v>#DIV/0!</v>
      </c>
    </row>
    <row r="547" spans="1:13" ht="18.75" customHeight="1">
      <c r="A547" s="57"/>
      <c r="B547" s="57"/>
      <c r="C547" s="48"/>
      <c r="D547" s="116">
        <v>45731</v>
      </c>
      <c r="E547" s="30">
        <v>343</v>
      </c>
      <c r="F547" s="30"/>
      <c r="G547" s="31"/>
      <c r="H547" s="177">
        <v>1786</v>
      </c>
      <c r="I547" s="187"/>
      <c r="J547" s="32"/>
      <c r="K547" s="138" t="s">
        <v>118</v>
      </c>
      <c r="L547" s="32"/>
      <c r="M547" s="323" t="e">
        <f>Tracking_SI[[#This Row],[Chênh lệch 
(thừa so với ĐH)]]/Tracking_SI[[#This Row],[Số  lượng trên ĐH]]</f>
        <v>#DIV/0!</v>
      </c>
    </row>
    <row r="548" spans="1:13" ht="18.75" customHeight="1">
      <c r="A548" s="57" t="s">
        <v>115</v>
      </c>
      <c r="B548" s="57"/>
      <c r="C548" s="48"/>
      <c r="D548" s="111">
        <v>45716</v>
      </c>
      <c r="E548" s="309" t="s">
        <v>67</v>
      </c>
      <c r="F548" s="25" t="s">
        <v>8</v>
      </c>
      <c r="G548" s="24">
        <v>6000</v>
      </c>
      <c r="H548" s="163"/>
      <c r="I548" s="192">
        <f>G548-H548</f>
        <v>6000</v>
      </c>
      <c r="J548" s="24">
        <v>32000</v>
      </c>
      <c r="K548" s="130"/>
      <c r="L548" s="24"/>
      <c r="M548" s="323">
        <f>Tracking_SI[[#This Row],[Chênh lệch 
(thừa so với ĐH)]]/Tracking_SI[[#This Row],[Số  lượng trên ĐH]]</f>
        <v>1</v>
      </c>
    </row>
    <row r="549" spans="1:13" ht="18.75" customHeight="1">
      <c r="A549" s="57"/>
      <c r="B549" s="57"/>
      <c r="C549" s="48"/>
      <c r="D549" s="116">
        <v>45742</v>
      </c>
      <c r="E549" s="30">
        <v>403</v>
      </c>
      <c r="F549" s="30"/>
      <c r="G549" s="31"/>
      <c r="H549" s="166">
        <v>504</v>
      </c>
      <c r="I549" s="187"/>
      <c r="J549" s="32"/>
      <c r="K549" s="133"/>
      <c r="L549" s="32"/>
      <c r="M549" s="323" t="e">
        <f>Tracking_SI[[#This Row],[Chênh lệch 
(thừa so với ĐH)]]/Tracking_SI[[#This Row],[Số  lượng trên ĐH]]</f>
        <v>#DIV/0!</v>
      </c>
    </row>
    <row r="550" spans="1:13" ht="18.75" customHeight="1">
      <c r="A550" s="57"/>
      <c r="B550" s="57"/>
      <c r="C550" s="48"/>
      <c r="D550" s="116">
        <v>45752</v>
      </c>
      <c r="E550" s="30">
        <v>495</v>
      </c>
      <c r="F550" s="30"/>
      <c r="G550" s="31"/>
      <c r="H550" s="166">
        <v>503</v>
      </c>
      <c r="I550" s="187"/>
      <c r="J550" s="32"/>
      <c r="K550" s="133"/>
      <c r="L550" s="32"/>
      <c r="M550" s="323" t="e">
        <f>Tracking_SI[[#This Row],[Chênh lệch 
(thừa so với ĐH)]]/Tracking_SI[[#This Row],[Số  lượng trên ĐH]]</f>
        <v>#DIV/0!</v>
      </c>
    </row>
    <row r="551" spans="1:13" ht="18.75" customHeight="1">
      <c r="A551" s="57"/>
      <c r="B551" s="57"/>
      <c r="C551" s="48"/>
      <c r="D551" s="116"/>
      <c r="F551" s="30"/>
      <c r="G551" s="31"/>
      <c r="H551" s="166"/>
      <c r="I551" s="187"/>
      <c r="J551" s="32"/>
      <c r="K551" s="133"/>
      <c r="L551" s="32"/>
      <c r="M551" s="323" t="e">
        <f>Tracking_SI[[#This Row],[Chênh lệch 
(thừa so với ĐH)]]/Tracking_SI[[#This Row],[Số  lượng trên ĐH]]</f>
        <v>#DIV/0!</v>
      </c>
    </row>
    <row r="552" spans="1:13" ht="18.75" customHeight="1">
      <c r="A552" s="58" t="s">
        <v>106</v>
      </c>
      <c r="B552" s="81"/>
      <c r="C552" s="82" t="s">
        <v>68</v>
      </c>
      <c r="D552" s="118"/>
      <c r="E552" s="83"/>
      <c r="F552" s="84"/>
      <c r="G552" s="84"/>
      <c r="H552" s="84"/>
      <c r="I552" s="206"/>
      <c r="J552" s="87"/>
      <c r="K552" s="142"/>
      <c r="L552" s="85"/>
      <c r="M552" s="323" t="e">
        <f>Tracking_SI[[#This Row],[Chênh lệch 
(thừa so với ĐH)]]/Tracking_SI[[#This Row],[Số  lượng trên ĐH]]</f>
        <v>#DIV/0!</v>
      </c>
    </row>
    <row r="553" spans="1:13" ht="18.75" customHeight="1">
      <c r="A553" s="58" t="s">
        <v>115</v>
      </c>
      <c r="B553" s="57"/>
      <c r="C553" s="48"/>
      <c r="D553" s="111">
        <v>45706</v>
      </c>
      <c r="E553" s="309" t="s">
        <v>60</v>
      </c>
      <c r="F553" s="25" t="s">
        <v>8</v>
      </c>
      <c r="G553" s="39">
        <v>3000</v>
      </c>
      <c r="H553" s="173">
        <f>SUM(H554:H556)</f>
        <v>2084</v>
      </c>
      <c r="I553" s="192">
        <f>G553-H553</f>
        <v>916</v>
      </c>
      <c r="J553" s="24">
        <v>31800</v>
      </c>
      <c r="K553" s="130"/>
      <c r="L553" s="24"/>
      <c r="M553" s="323">
        <f>Tracking_SI[[#This Row],[Chênh lệch 
(thừa so với ĐH)]]/Tracking_SI[[#This Row],[Số  lượng trên ĐH]]</f>
        <v>0.30533333333333335</v>
      </c>
    </row>
    <row r="554" spans="1:13" ht="19.5" customHeight="1">
      <c r="A554" s="57"/>
      <c r="B554" s="57"/>
      <c r="C554" s="48"/>
      <c r="D554" s="116">
        <v>45731</v>
      </c>
      <c r="E554" s="30">
        <v>343</v>
      </c>
      <c r="F554" s="30"/>
      <c r="G554" s="44"/>
      <c r="H554" s="174">
        <v>2084</v>
      </c>
      <c r="I554" s="187"/>
      <c r="J554" s="32"/>
      <c r="K554" s="133"/>
      <c r="L554" s="32"/>
      <c r="M554" s="323" t="e">
        <f>Tracking_SI[[#This Row],[Chênh lệch 
(thừa so với ĐH)]]/Tracking_SI[[#This Row],[Số  lượng trên ĐH]]</f>
        <v>#DIV/0!</v>
      </c>
    </row>
    <row r="555" spans="1:13" ht="19.5" customHeight="1">
      <c r="A555" s="57"/>
      <c r="B555" s="57"/>
      <c r="C555" s="48"/>
      <c r="D555" s="116"/>
      <c r="F555" s="30"/>
      <c r="G555" s="44"/>
      <c r="H555" s="174"/>
      <c r="I555" s="187"/>
      <c r="J555" s="32"/>
      <c r="K555" s="133"/>
      <c r="L555" s="32"/>
      <c r="M555" s="323" t="e">
        <f>Tracking_SI[[#This Row],[Chênh lệch 
(thừa so với ĐH)]]/Tracking_SI[[#This Row],[Số  lượng trên ĐH]]</f>
        <v>#DIV/0!</v>
      </c>
    </row>
    <row r="556" spans="1:13" ht="19.5" customHeight="1">
      <c r="A556" s="57"/>
      <c r="B556" s="57"/>
      <c r="C556" s="48"/>
      <c r="D556" s="116"/>
      <c r="F556" s="30"/>
      <c r="G556" s="44"/>
      <c r="H556" s="174"/>
      <c r="I556" s="187"/>
      <c r="J556" s="32"/>
      <c r="K556" s="133"/>
      <c r="L556" s="32"/>
      <c r="M556" s="323" t="e">
        <f>Tracking_SI[[#This Row],[Chênh lệch 
(thừa so với ĐH)]]/Tracking_SI[[#This Row],[Số  lượng trên ĐH]]</f>
        <v>#DIV/0!</v>
      </c>
    </row>
    <row r="557" spans="1:13" ht="19.5" customHeight="1">
      <c r="A557" s="57"/>
      <c r="B557" s="57"/>
      <c r="C557" s="48"/>
      <c r="D557" s="116"/>
      <c r="F557" s="30"/>
      <c r="G557" s="44"/>
      <c r="H557" s="174"/>
      <c r="I557" s="187"/>
      <c r="J557" s="32"/>
      <c r="K557" s="133"/>
      <c r="L557" s="32"/>
      <c r="M557" s="323" t="e">
        <f>Tracking_SI[[#This Row],[Chênh lệch 
(thừa so với ĐH)]]/Tracking_SI[[#This Row],[Số  lượng trên ĐH]]</f>
        <v>#DIV/0!</v>
      </c>
    </row>
    <row r="558" spans="1:13" ht="19.5" customHeight="1">
      <c r="A558" s="58" t="s">
        <v>106</v>
      </c>
      <c r="B558" s="81"/>
      <c r="C558" s="82" t="s">
        <v>69</v>
      </c>
      <c r="D558" s="118"/>
      <c r="E558" s="83"/>
      <c r="F558" s="84"/>
      <c r="G558" s="84"/>
      <c r="H558" s="84"/>
      <c r="I558" s="206"/>
      <c r="J558" s="85"/>
      <c r="K558" s="141"/>
      <c r="L558" s="85"/>
      <c r="M558" s="323" t="e">
        <f>Tracking_SI[[#This Row],[Chênh lệch 
(thừa so với ĐH)]]/Tracking_SI[[#This Row],[Số  lượng trên ĐH]]</f>
        <v>#DIV/0!</v>
      </c>
    </row>
    <row r="559" spans="1:13" ht="19.5" customHeight="1">
      <c r="A559" s="58" t="s">
        <v>115</v>
      </c>
      <c r="B559" s="57"/>
      <c r="C559" s="48"/>
      <c r="D559" s="183">
        <v>45775</v>
      </c>
      <c r="E559" s="30" t="s">
        <v>70</v>
      </c>
      <c r="F559" s="28" t="s">
        <v>8</v>
      </c>
      <c r="G559" s="197">
        <v>2000</v>
      </c>
      <c r="H559" s="221">
        <f>SUM(H560:H562)</f>
        <v>1314</v>
      </c>
      <c r="I559" s="199">
        <f>G559-H559</f>
        <v>686</v>
      </c>
      <c r="J559" s="149">
        <v>32000</v>
      </c>
      <c r="K559" s="195"/>
      <c r="L559" s="29"/>
      <c r="M559" s="323">
        <f>Tracking_SI[[#This Row],[Chênh lệch 
(thừa so với ĐH)]]/Tracking_SI[[#This Row],[Số  lượng trên ĐH]]</f>
        <v>0.34300000000000003</v>
      </c>
    </row>
    <row r="560" spans="1:13" ht="19.5" customHeight="1">
      <c r="A560" s="57"/>
      <c r="B560" s="57"/>
      <c r="C560" s="48"/>
      <c r="D560" s="116">
        <v>45783</v>
      </c>
      <c r="E560" s="30">
        <v>682</v>
      </c>
      <c r="F560" s="30"/>
      <c r="G560" s="44"/>
      <c r="H560" s="174">
        <v>1314</v>
      </c>
      <c r="I560" s="187"/>
      <c r="J560" s="32"/>
      <c r="K560" s="133"/>
      <c r="L560" s="32"/>
      <c r="M560" s="323" t="e">
        <f>Tracking_SI[[#This Row],[Chênh lệch 
(thừa so với ĐH)]]/Tracking_SI[[#This Row],[Số  lượng trên ĐH]]</f>
        <v>#DIV/0!</v>
      </c>
    </row>
    <row r="561" spans="1:13" ht="19.5" customHeight="1">
      <c r="A561" s="57"/>
      <c r="B561" s="57"/>
      <c r="C561" s="48"/>
      <c r="D561" s="116"/>
      <c r="F561" s="30"/>
      <c r="G561" s="44"/>
      <c r="H561" s="174"/>
      <c r="I561" s="187"/>
      <c r="J561" s="32"/>
      <c r="K561" s="133"/>
      <c r="L561" s="32"/>
      <c r="M561" s="323" t="e">
        <f>Tracking_SI[[#This Row],[Chênh lệch 
(thừa so với ĐH)]]/Tracking_SI[[#This Row],[Số  lượng trên ĐH]]</f>
        <v>#DIV/0!</v>
      </c>
    </row>
    <row r="562" spans="1:13" ht="19.5" customHeight="1">
      <c r="A562" s="57"/>
      <c r="B562" s="57"/>
      <c r="C562" s="48"/>
      <c r="D562" s="116"/>
      <c r="F562" s="30"/>
      <c r="G562" s="44"/>
      <c r="H562" s="174"/>
      <c r="I562" s="187"/>
      <c r="J562" s="32"/>
      <c r="K562" s="133"/>
      <c r="L562" s="32"/>
      <c r="M562" s="323" t="e">
        <f>Tracking_SI[[#This Row],[Chênh lệch 
(thừa so với ĐH)]]/Tracking_SI[[#This Row],[Số  lượng trên ĐH]]</f>
        <v>#DIV/0!</v>
      </c>
    </row>
    <row r="563" spans="1:13" ht="19.5" customHeight="1">
      <c r="A563" s="58" t="s">
        <v>106</v>
      </c>
      <c r="B563" s="81"/>
      <c r="C563" s="82" t="s">
        <v>71</v>
      </c>
      <c r="D563" s="118"/>
      <c r="E563" s="83"/>
      <c r="F563" s="84"/>
      <c r="G563" s="84"/>
      <c r="H563" s="84"/>
      <c r="I563" s="206"/>
      <c r="J563" s="85"/>
      <c r="K563" s="141"/>
      <c r="L563" s="85"/>
      <c r="M563" s="323" t="e">
        <f>Tracking_SI[[#This Row],[Chênh lệch 
(thừa so với ĐH)]]/Tracking_SI[[#This Row],[Số  lượng trên ĐH]]</f>
        <v>#DIV/0!</v>
      </c>
    </row>
    <row r="564" spans="1:13" ht="19.5" customHeight="1">
      <c r="A564" s="58" t="s">
        <v>115</v>
      </c>
      <c r="B564" s="57"/>
      <c r="C564" s="48"/>
      <c r="D564" s="183">
        <v>45506</v>
      </c>
      <c r="E564" s="30" t="s">
        <v>42</v>
      </c>
      <c r="F564" s="28" t="s">
        <v>43</v>
      </c>
      <c r="G564" s="197">
        <v>3068</v>
      </c>
      <c r="H564" s="221">
        <f>SUM(H565:H566)</f>
        <v>0</v>
      </c>
      <c r="I564" s="200">
        <f>G564-H564</f>
        <v>3068</v>
      </c>
      <c r="J564" s="149">
        <v>32400</v>
      </c>
      <c r="K564" s="127" t="s">
        <v>215</v>
      </c>
      <c r="L564" s="29"/>
      <c r="M564" s="323">
        <f>Tracking_SI[[#This Row],[Chênh lệch 
(thừa so với ĐH)]]/Tracking_SI[[#This Row],[Số  lượng trên ĐH]]</f>
        <v>1</v>
      </c>
    </row>
    <row r="565" spans="1:13" ht="19.5" customHeight="1">
      <c r="A565" s="57"/>
      <c r="B565" s="57"/>
      <c r="C565" s="48"/>
      <c r="D565" s="116"/>
      <c r="F565" s="30"/>
      <c r="G565" s="44"/>
      <c r="H565" s="174"/>
      <c r="I565" s="187"/>
      <c r="J565" s="32"/>
      <c r="K565" s="133"/>
      <c r="L565" s="32"/>
      <c r="M565" s="323" t="e">
        <f>Tracking_SI[[#This Row],[Chênh lệch 
(thừa so với ĐH)]]/Tracking_SI[[#This Row],[Số  lượng trên ĐH]]</f>
        <v>#DIV/0!</v>
      </c>
    </row>
    <row r="566" spans="1:13" ht="19.5" customHeight="1">
      <c r="A566" s="57"/>
      <c r="B566" s="57"/>
      <c r="C566" s="48"/>
      <c r="D566" s="116"/>
      <c r="F566" s="30"/>
      <c r="G566" s="44"/>
      <c r="H566" s="174"/>
      <c r="I566" s="187"/>
      <c r="J566" s="32"/>
      <c r="K566" s="133"/>
      <c r="L566" s="32"/>
      <c r="M566" s="323" t="e">
        <f>Tracking_SI[[#This Row],[Chênh lệch 
(thừa so với ĐH)]]/Tracking_SI[[#This Row],[Số  lượng trên ĐH]]</f>
        <v>#DIV/0!</v>
      </c>
    </row>
    <row r="567" spans="1:13" ht="19.5" customHeight="1">
      <c r="A567" s="58" t="s">
        <v>106</v>
      </c>
      <c r="B567" s="81" t="s">
        <v>135</v>
      </c>
      <c r="C567" s="82" t="s">
        <v>136</v>
      </c>
      <c r="D567" s="118"/>
      <c r="E567" s="83"/>
      <c r="F567" s="84"/>
      <c r="G567" s="84"/>
      <c r="H567" s="84"/>
      <c r="I567" s="206"/>
      <c r="J567" s="87"/>
      <c r="K567" s="142"/>
      <c r="L567" s="85"/>
      <c r="M567" s="323" t="e">
        <f>Tracking_SI[[#This Row],[Chênh lệch 
(thừa so với ĐH)]]/Tracking_SI[[#This Row],[Số  lượng trên ĐH]]</f>
        <v>#DIV/0!</v>
      </c>
    </row>
    <row r="568" spans="1:13" ht="19.5" customHeight="1">
      <c r="A568" s="58" t="s">
        <v>115</v>
      </c>
      <c r="B568" s="57" t="s">
        <v>135</v>
      </c>
      <c r="C568" s="48"/>
      <c r="D568" s="183">
        <v>45532</v>
      </c>
      <c r="E568" s="309" t="s">
        <v>66</v>
      </c>
      <c r="F568" s="28" t="s">
        <v>21</v>
      </c>
      <c r="G568" s="222">
        <v>7836</v>
      </c>
      <c r="H568" s="223">
        <f>SUM(H569:H573)</f>
        <v>7836</v>
      </c>
      <c r="I568" s="199">
        <f>G568-H568</f>
        <v>0</v>
      </c>
      <c r="J568" s="29">
        <v>31500</v>
      </c>
      <c r="K568" s="127" t="s">
        <v>116</v>
      </c>
      <c r="L568" s="24"/>
      <c r="M568" s="323">
        <f>Tracking_SI[[#This Row],[Chênh lệch 
(thừa so với ĐH)]]/Tracking_SI[[#This Row],[Số  lượng trên ĐH]]</f>
        <v>0</v>
      </c>
    </row>
    <row r="569" spans="1:13" ht="19.5" customHeight="1">
      <c r="A569" s="57"/>
      <c r="B569" s="57" t="s">
        <v>135</v>
      </c>
      <c r="C569" s="48"/>
      <c r="D569" s="116">
        <v>45294</v>
      </c>
      <c r="E569" s="30" t="s">
        <v>66</v>
      </c>
      <c r="F569" s="30"/>
      <c r="G569" s="44"/>
      <c r="H569" s="174">
        <v>2769</v>
      </c>
      <c r="I569" s="187"/>
      <c r="J569" s="32"/>
      <c r="K569" s="138" t="s">
        <v>118</v>
      </c>
      <c r="L569" s="32"/>
      <c r="M569" s="323" t="e">
        <f>Tracking_SI[[#This Row],[Chênh lệch 
(thừa so với ĐH)]]/Tracking_SI[[#This Row],[Số  lượng trên ĐH]]</f>
        <v>#DIV/0!</v>
      </c>
    </row>
    <row r="570" spans="1:13" ht="19.5" customHeight="1">
      <c r="A570" s="57"/>
      <c r="B570" s="57" t="s">
        <v>135</v>
      </c>
      <c r="C570" s="48"/>
      <c r="D570" s="116">
        <v>45698</v>
      </c>
      <c r="E570" s="30" t="s">
        <v>66</v>
      </c>
      <c r="F570" s="30"/>
      <c r="G570" s="44"/>
      <c r="H570" s="174">
        <v>1551</v>
      </c>
      <c r="I570" s="187"/>
      <c r="J570" s="32"/>
      <c r="K570" s="138" t="s">
        <v>118</v>
      </c>
      <c r="L570" s="32"/>
      <c r="M570" s="323" t="e">
        <f>Tracking_SI[[#This Row],[Chênh lệch 
(thừa so với ĐH)]]/Tracking_SI[[#This Row],[Số  lượng trên ĐH]]</f>
        <v>#DIV/0!</v>
      </c>
    </row>
    <row r="571" spans="1:13" ht="19.5" customHeight="1">
      <c r="A571" s="57"/>
      <c r="B571" s="57" t="s">
        <v>135</v>
      </c>
      <c r="C571" s="48"/>
      <c r="D571" s="116">
        <v>45701</v>
      </c>
      <c r="E571" s="30" t="s">
        <v>66</v>
      </c>
      <c r="F571" s="30"/>
      <c r="G571" s="44"/>
      <c r="H571" s="174">
        <v>1561</v>
      </c>
      <c r="I571" s="187"/>
      <c r="J571" s="32"/>
      <c r="K571" s="138" t="s">
        <v>118</v>
      </c>
      <c r="L571" s="32"/>
      <c r="M571" s="323" t="e">
        <f>Tracking_SI[[#This Row],[Chênh lệch 
(thừa so với ĐH)]]/Tracking_SI[[#This Row],[Số  lượng trên ĐH]]</f>
        <v>#DIV/0!</v>
      </c>
    </row>
    <row r="572" spans="1:13" ht="19.5" customHeight="1">
      <c r="A572" s="57"/>
      <c r="B572" s="57" t="s">
        <v>135</v>
      </c>
      <c r="C572" s="48"/>
      <c r="D572" s="116">
        <v>45706</v>
      </c>
      <c r="E572" s="30" t="s">
        <v>66</v>
      </c>
      <c r="F572" s="30"/>
      <c r="G572" s="44"/>
      <c r="H572" s="174">
        <v>1238</v>
      </c>
      <c r="I572" s="187"/>
      <c r="J572" s="32"/>
      <c r="K572" s="138" t="s">
        <v>118</v>
      </c>
      <c r="L572" s="32"/>
      <c r="M572" s="323" t="e">
        <f>Tracking_SI[[#This Row],[Chênh lệch 
(thừa so với ĐH)]]/Tracking_SI[[#This Row],[Số  lượng trên ĐH]]</f>
        <v>#DIV/0!</v>
      </c>
    </row>
    <row r="573" spans="1:13" ht="19.5" customHeight="1">
      <c r="A573" s="57"/>
      <c r="B573" s="57" t="s">
        <v>135</v>
      </c>
      <c r="C573" s="48"/>
      <c r="D573" s="116">
        <v>45708</v>
      </c>
      <c r="E573" s="30" t="s">
        <v>66</v>
      </c>
      <c r="F573" s="30"/>
      <c r="G573" s="30"/>
      <c r="H573" s="174">
        <v>717</v>
      </c>
      <c r="I573" s="187"/>
      <c r="J573" s="32"/>
      <c r="K573" s="138" t="s">
        <v>118</v>
      </c>
      <c r="L573" s="32"/>
      <c r="M573" s="323" t="e">
        <f>Tracking_SI[[#This Row],[Chênh lệch 
(thừa so với ĐH)]]/Tracking_SI[[#This Row],[Số  lượng trên ĐH]]</f>
        <v>#DIV/0!</v>
      </c>
    </row>
    <row r="574" spans="1:13" ht="19.5" customHeight="1">
      <c r="A574" s="58" t="s">
        <v>115</v>
      </c>
      <c r="B574" s="57" t="s">
        <v>135</v>
      </c>
      <c r="C574" s="48"/>
      <c r="D574" s="111">
        <v>45698</v>
      </c>
      <c r="E574" s="111" t="s">
        <v>16</v>
      </c>
      <c r="F574" s="25" t="s">
        <v>8</v>
      </c>
      <c r="G574" s="39">
        <v>10000</v>
      </c>
      <c r="H574" s="163">
        <f>SUM(H575:H580)</f>
        <v>10000</v>
      </c>
      <c r="I574" s="212">
        <f>G574-H574</f>
        <v>0</v>
      </c>
      <c r="J574" s="161">
        <v>31800</v>
      </c>
      <c r="K574" s="127" t="s">
        <v>116</v>
      </c>
      <c r="L574" s="29"/>
      <c r="M574" s="323">
        <f>Tracking_SI[[#This Row],[Chênh lệch 
(thừa so với ĐH)]]/Tracking_SI[[#This Row],[Số  lượng trên ĐH]]</f>
        <v>0</v>
      </c>
    </row>
    <row r="575" spans="1:13" ht="19.5" customHeight="1">
      <c r="A575" s="57"/>
      <c r="B575" s="57" t="s">
        <v>135</v>
      </c>
      <c r="C575" s="48"/>
      <c r="D575" s="116">
        <v>45708</v>
      </c>
      <c r="E575" s="30" t="s">
        <v>16</v>
      </c>
      <c r="F575" s="30"/>
      <c r="G575" s="44"/>
      <c r="H575" s="164">
        <v>512</v>
      </c>
      <c r="I575" s="187"/>
      <c r="J575" s="32"/>
      <c r="K575" s="138" t="s">
        <v>118</v>
      </c>
      <c r="L575" s="32"/>
      <c r="M575" s="323" t="e">
        <f>Tracking_SI[[#This Row],[Chênh lệch 
(thừa so với ĐH)]]/Tracking_SI[[#This Row],[Số  lượng trên ĐH]]</f>
        <v>#DIV/0!</v>
      </c>
    </row>
    <row r="576" spans="1:13" ht="19.5" customHeight="1">
      <c r="A576" s="57"/>
      <c r="B576" s="57" t="s">
        <v>135</v>
      </c>
      <c r="C576" s="48"/>
      <c r="D576" s="116">
        <v>45712</v>
      </c>
      <c r="E576" s="30" t="s">
        <v>16</v>
      </c>
      <c r="F576" s="30"/>
      <c r="G576" s="44"/>
      <c r="H576" s="164">
        <v>1237</v>
      </c>
      <c r="I576" s="187"/>
      <c r="J576" s="32"/>
      <c r="K576" s="138" t="s">
        <v>118</v>
      </c>
      <c r="L576" s="32"/>
      <c r="M576" s="323" t="e">
        <f>Tracking_SI[[#This Row],[Chênh lệch 
(thừa so với ĐH)]]/Tracking_SI[[#This Row],[Số  lượng trên ĐH]]</f>
        <v>#DIV/0!</v>
      </c>
    </row>
    <row r="577" spans="1:23" ht="19.5" customHeight="1">
      <c r="A577" s="57"/>
      <c r="B577" s="57" t="s">
        <v>135</v>
      </c>
      <c r="C577" s="48"/>
      <c r="D577" s="116">
        <v>45742</v>
      </c>
      <c r="E577" s="30" t="s">
        <v>16</v>
      </c>
      <c r="F577" s="30"/>
      <c r="G577" s="44"/>
      <c r="H577" s="164">
        <v>2155</v>
      </c>
      <c r="I577" s="187"/>
      <c r="J577" s="32"/>
      <c r="K577" s="138" t="s">
        <v>118</v>
      </c>
      <c r="L577" s="32"/>
      <c r="M577" s="323" t="e">
        <f>Tracking_SI[[#This Row],[Chênh lệch 
(thừa so với ĐH)]]/Tracking_SI[[#This Row],[Số  lượng trên ĐH]]</f>
        <v>#DIV/0!</v>
      </c>
    </row>
    <row r="578" spans="1:23" ht="18.75" customHeight="1">
      <c r="A578" s="57"/>
      <c r="B578" s="57" t="s">
        <v>135</v>
      </c>
      <c r="C578" s="48"/>
      <c r="D578" s="116">
        <v>45773</v>
      </c>
      <c r="E578" s="30" t="s">
        <v>16</v>
      </c>
      <c r="F578" s="30"/>
      <c r="G578" s="44"/>
      <c r="H578" s="164">
        <v>4959</v>
      </c>
      <c r="I578" s="187"/>
      <c r="J578" s="32"/>
      <c r="K578" s="138" t="s">
        <v>118</v>
      </c>
      <c r="L578" s="32"/>
      <c r="M578" s="323" t="e">
        <f>Tracking_SI[[#This Row],[Chênh lệch 
(thừa so với ĐH)]]/Tracking_SI[[#This Row],[Số  lượng trên ĐH]]</f>
        <v>#DIV/0!</v>
      </c>
    </row>
    <row r="579" spans="1:23" ht="18.75" customHeight="1">
      <c r="A579" s="57"/>
      <c r="B579" s="57" t="s">
        <v>135</v>
      </c>
      <c r="C579" s="48"/>
      <c r="D579" s="116">
        <v>45812</v>
      </c>
      <c r="E579" s="30" t="s">
        <v>16</v>
      </c>
      <c r="F579" s="30"/>
      <c r="G579" s="44"/>
      <c r="H579" s="164">
        <v>619</v>
      </c>
      <c r="I579" s="187"/>
      <c r="J579" s="32"/>
      <c r="K579" s="138" t="s">
        <v>118</v>
      </c>
      <c r="L579" s="32"/>
      <c r="M579" s="323" t="e">
        <f>Tracking_SI[[#This Row],[Chênh lệch 
(thừa so với ĐH)]]/Tracking_SI[[#This Row],[Số  lượng trên ĐH]]</f>
        <v>#DIV/0!</v>
      </c>
    </row>
    <row r="580" spans="1:23" ht="18.75" customHeight="1">
      <c r="A580" s="57"/>
      <c r="B580" s="57" t="s">
        <v>135</v>
      </c>
      <c r="C580" s="48"/>
      <c r="D580" s="116">
        <v>46094</v>
      </c>
      <c r="E580" s="30" t="s">
        <v>16</v>
      </c>
      <c r="F580" s="30"/>
      <c r="G580" s="44"/>
      <c r="H580" s="164">
        <v>518</v>
      </c>
      <c r="I580" s="187"/>
      <c r="J580" s="32"/>
      <c r="K580" s="138" t="s">
        <v>118</v>
      </c>
      <c r="L580" s="32"/>
      <c r="M580" s="323" t="e">
        <f>Tracking_SI[[#This Row],[Chênh lệch 
(thừa so với ĐH)]]/Tracking_SI[[#This Row],[Số  lượng trên ĐH]]</f>
        <v>#DIV/0!</v>
      </c>
    </row>
    <row r="581" spans="1:23" ht="18" customHeight="1">
      <c r="A581" s="57" t="s">
        <v>115</v>
      </c>
      <c r="B581" s="57" t="s">
        <v>135</v>
      </c>
      <c r="C581" s="48"/>
      <c r="D581" s="341">
        <v>45862</v>
      </c>
      <c r="E581" s="342" t="s">
        <v>169</v>
      </c>
      <c r="F581" s="375"/>
      <c r="G581" s="347">
        <v>15000</v>
      </c>
      <c r="H581" s="343">
        <f>SUM(H582:H584)</f>
        <v>10663</v>
      </c>
      <c r="I581" s="361">
        <f>Tracking_SI[[#This Row],[Số  lượng trên ĐH]]-Tracking_SI[[#This Row],[Số  lượng giao]]</f>
        <v>4337</v>
      </c>
      <c r="J581" s="302"/>
      <c r="K581" s="356"/>
      <c r="L581" s="32"/>
      <c r="M581" s="323">
        <f>Tracking_SI[[#This Row],[Chênh lệch 
(thừa so với ĐH)]]/Tracking_SI[[#This Row],[Số  lượng trên ĐH]]</f>
        <v>0.28913333333333335</v>
      </c>
    </row>
    <row r="582" spans="1:23" ht="18" customHeight="1">
      <c r="A582" s="57"/>
      <c r="B582" s="57" t="s">
        <v>135</v>
      </c>
      <c r="C582" s="48"/>
      <c r="D582" s="116">
        <v>46094</v>
      </c>
      <c r="E582" s="30" t="s">
        <v>169</v>
      </c>
      <c r="F582" s="30"/>
      <c r="G582" s="362"/>
      <c r="H582" s="164">
        <f>2142-H580</f>
        <v>1624</v>
      </c>
      <c r="I582" s="360"/>
      <c r="J582" s="32"/>
      <c r="K582" s="346"/>
      <c r="L582" s="32"/>
      <c r="M582" s="323" t="e">
        <f>Tracking_SI[[#This Row],[Chênh lệch 
(thừa so với ĐH)]]/Tracking_SI[[#This Row],[Số  lượng trên ĐH]]</f>
        <v>#DIV/0!</v>
      </c>
    </row>
    <row r="583" spans="1:23" ht="18" customHeight="1">
      <c r="A583" s="57" t="s">
        <v>118</v>
      </c>
      <c r="B583" s="57" t="s">
        <v>135</v>
      </c>
      <c r="C583" s="48"/>
      <c r="D583" s="116">
        <v>46113</v>
      </c>
      <c r="E583" s="30" t="s">
        <v>169</v>
      </c>
      <c r="F583" s="30"/>
      <c r="G583" s="30"/>
      <c r="H583" s="164">
        <v>9039</v>
      </c>
      <c r="I583" s="360"/>
      <c r="J583" s="32"/>
      <c r="K583" s="346"/>
      <c r="L583" s="32"/>
      <c r="M583" s="323" t="e">
        <f>Tracking_SI[[#This Row],[Chênh lệch 
(thừa so với ĐH)]]/Tracking_SI[[#This Row],[Số  lượng trên ĐH]]</f>
        <v>#DIV/0!</v>
      </c>
    </row>
    <row r="584" spans="1:23" ht="18" customHeight="1">
      <c r="A584" s="57"/>
      <c r="B584" s="57" t="s">
        <v>135</v>
      </c>
      <c r="C584" s="48"/>
      <c r="D584" s="116"/>
      <c r="E584" s="30" t="s">
        <v>169</v>
      </c>
      <c r="F584" s="30"/>
      <c r="G584" s="30"/>
      <c r="H584" s="307"/>
      <c r="I584" s="360"/>
      <c r="J584" s="32"/>
      <c r="K584" s="346"/>
      <c r="L584" s="32"/>
      <c r="M584" s="323" t="e">
        <f>Tracking_SI[[#This Row],[Chênh lệch 
(thừa so với ĐH)]]/Tracking_SI[[#This Row],[Số  lượng trên ĐH]]</f>
        <v>#DIV/0!</v>
      </c>
    </row>
    <row r="585" spans="1:23" ht="18" customHeight="1">
      <c r="A585" s="57" t="s">
        <v>115</v>
      </c>
      <c r="B585" s="57" t="s">
        <v>135</v>
      </c>
      <c r="C585" s="48"/>
      <c r="D585" s="215">
        <v>46064</v>
      </c>
      <c r="E585" s="348" t="s">
        <v>202</v>
      </c>
      <c r="F585" s="30"/>
      <c r="G585" s="362">
        <v>12000</v>
      </c>
      <c r="H585" s="164">
        <f>SUM(H586:H588)</f>
        <v>0</v>
      </c>
      <c r="I585" s="187"/>
      <c r="J585" s="32"/>
      <c r="K585" s="133"/>
      <c r="L585" s="32"/>
      <c r="M585" s="323">
        <f>Tracking_SI[[#This Row],[Chênh lệch 
(thừa so với ĐH)]]/Tracking_SI[[#This Row],[Số  lượng trên ĐH]]</f>
        <v>0</v>
      </c>
    </row>
    <row r="586" spans="1:23" ht="18" customHeight="1">
      <c r="A586" s="57"/>
      <c r="B586" s="57" t="s">
        <v>135</v>
      </c>
      <c r="C586" s="48"/>
      <c r="D586" s="116"/>
      <c r="F586" s="30"/>
      <c r="G586" s="44"/>
      <c r="H586" s="164"/>
      <c r="I586" s="187"/>
      <c r="J586" s="32"/>
      <c r="K586" s="133"/>
      <c r="L586" s="32"/>
      <c r="M586" s="323" t="e">
        <f>Tracking_SI[[#This Row],[Chênh lệch 
(thừa so với ĐH)]]/Tracking_SI[[#This Row],[Số  lượng trên ĐH]]</f>
        <v>#DIV/0!</v>
      </c>
    </row>
    <row r="587" spans="1:23" ht="18" customHeight="1">
      <c r="A587" s="57"/>
      <c r="B587" s="57" t="s">
        <v>135</v>
      </c>
      <c r="C587" s="48"/>
      <c r="D587" s="116"/>
      <c r="F587" s="30"/>
      <c r="G587" s="44"/>
      <c r="H587" s="164"/>
      <c r="I587" s="187"/>
      <c r="J587" s="32"/>
      <c r="K587" s="133"/>
      <c r="L587" s="32"/>
      <c r="M587" s="323" t="e">
        <f>Tracking_SI[[#This Row],[Chênh lệch 
(thừa so với ĐH)]]/Tracking_SI[[#This Row],[Số  lượng trên ĐH]]</f>
        <v>#DIV/0!</v>
      </c>
    </row>
    <row r="588" spans="1:23" s="2" customFormat="1" ht="18" customHeight="1">
      <c r="A588" s="57"/>
      <c r="B588" s="57" t="s">
        <v>135</v>
      </c>
      <c r="C588" s="48"/>
      <c r="D588" s="116"/>
      <c r="E588" s="30"/>
      <c r="F588" s="30"/>
      <c r="G588" s="44"/>
      <c r="H588" s="174"/>
      <c r="I588" s="187"/>
      <c r="J588" s="32"/>
      <c r="K588" s="133"/>
      <c r="L588" s="32"/>
      <c r="M588" s="323" t="e">
        <f>Tracking_SI[[#This Row],[Chênh lệch 
(thừa so với ĐH)]]/Tracking_SI[[#This Row],[Số  lượng trên ĐH]]</f>
        <v>#DIV/0!</v>
      </c>
      <c r="R588" s="17"/>
      <c r="S588" s="17"/>
      <c r="T588" s="17"/>
      <c r="U588" s="17"/>
      <c r="V588" s="17"/>
      <c r="W588" s="17"/>
    </row>
    <row r="589" spans="1:23" s="2" customFormat="1" ht="18" customHeight="1">
      <c r="A589" s="58" t="s">
        <v>106</v>
      </c>
      <c r="B589" s="81" t="s">
        <v>166</v>
      </c>
      <c r="C589" s="82" t="s">
        <v>168</v>
      </c>
      <c r="D589" s="118"/>
      <c r="E589" s="83"/>
      <c r="F589" s="84"/>
      <c r="G589" s="84"/>
      <c r="H589" s="84"/>
      <c r="I589" s="206"/>
      <c r="J589" s="85"/>
      <c r="K589" s="141"/>
      <c r="L589" s="85"/>
      <c r="M589" s="323" t="e">
        <f>Tracking_SI[[#This Row],[Chênh lệch 
(thừa so với ĐH)]]/Tracking_SI[[#This Row],[Số  lượng trên ĐH]]</f>
        <v>#DIV/0!</v>
      </c>
      <c r="R589" s="17"/>
      <c r="S589" s="17"/>
      <c r="T589" s="17"/>
      <c r="U589" s="17"/>
      <c r="V589" s="17"/>
      <c r="W589" s="17"/>
    </row>
    <row r="590" spans="1:23" ht="18" customHeight="1">
      <c r="A590" s="57" t="s">
        <v>115</v>
      </c>
      <c r="B590" s="57" t="s">
        <v>166</v>
      </c>
      <c r="C590" s="48"/>
      <c r="D590" s="159">
        <v>45716</v>
      </c>
      <c r="E590" s="310" t="s">
        <v>164</v>
      </c>
      <c r="F590" s="25" t="s">
        <v>8</v>
      </c>
      <c r="G590" s="161">
        <v>5000</v>
      </c>
      <c r="H590" s="161">
        <f>SUM(H591:H593)</f>
        <v>832</v>
      </c>
      <c r="I590" s="213">
        <f>G590-H590</f>
        <v>4168</v>
      </c>
      <c r="J590" s="161">
        <v>31800</v>
      </c>
      <c r="K590" s="193"/>
      <c r="L590" s="24"/>
      <c r="M590" s="323">
        <f>Tracking_SI[[#This Row],[Chênh lệch 
(thừa so với ĐH)]]/Tracking_SI[[#This Row],[Số  lượng trên ĐH]]</f>
        <v>0.83360000000000001</v>
      </c>
    </row>
    <row r="591" spans="1:23" ht="18" customHeight="1">
      <c r="A591" s="57"/>
      <c r="B591" s="57" t="s">
        <v>166</v>
      </c>
      <c r="C591" s="48"/>
      <c r="D591" s="116">
        <v>45861</v>
      </c>
      <c r="E591" s="30" t="s">
        <v>164</v>
      </c>
      <c r="F591" s="30"/>
      <c r="G591" s="44"/>
      <c r="H591" s="164">
        <v>832</v>
      </c>
      <c r="I591" s="187"/>
      <c r="J591" s="32"/>
      <c r="K591" s="133"/>
      <c r="L591" s="32"/>
      <c r="M591" s="323" t="e">
        <f>Tracking_SI[[#This Row],[Chênh lệch 
(thừa so với ĐH)]]/Tracking_SI[[#This Row],[Số  lượng trên ĐH]]</f>
        <v>#DIV/0!</v>
      </c>
    </row>
    <row r="592" spans="1:23" ht="18" customHeight="1">
      <c r="A592" s="57"/>
      <c r="B592" s="57" t="s">
        <v>166</v>
      </c>
      <c r="C592" s="48"/>
      <c r="D592" s="116"/>
      <c r="F592" s="30"/>
      <c r="G592" s="44"/>
      <c r="H592" s="174"/>
      <c r="I592" s="187"/>
      <c r="J592" s="32"/>
      <c r="K592" s="133"/>
      <c r="L592" s="32"/>
      <c r="M592" s="323" t="e">
        <f>Tracking_SI[[#This Row],[Chênh lệch 
(thừa so với ĐH)]]/Tracking_SI[[#This Row],[Số  lượng trên ĐH]]</f>
        <v>#DIV/0!</v>
      </c>
    </row>
    <row r="593" spans="1:13" ht="18" customHeight="1">
      <c r="A593" s="57"/>
      <c r="B593" s="57" t="s">
        <v>166</v>
      </c>
      <c r="C593" s="48"/>
      <c r="D593" s="116"/>
      <c r="F593" s="30"/>
      <c r="G593" s="44"/>
      <c r="H593" s="174"/>
      <c r="I593" s="187"/>
      <c r="J593" s="32"/>
      <c r="K593" s="133"/>
      <c r="L593" s="32"/>
      <c r="M593" s="323" t="e">
        <f>Tracking_SI[[#This Row],[Chênh lệch 
(thừa so với ĐH)]]/Tracking_SI[[#This Row],[Số  lượng trên ĐH]]</f>
        <v>#DIV/0!</v>
      </c>
    </row>
    <row r="594" spans="1:13" ht="18" customHeight="1">
      <c r="A594" s="58" t="s">
        <v>106</v>
      </c>
      <c r="B594" s="81" t="s">
        <v>170</v>
      </c>
      <c r="C594" s="82" t="s">
        <v>174</v>
      </c>
      <c r="D594" s="118"/>
      <c r="E594" s="83"/>
      <c r="F594" s="84"/>
      <c r="G594" s="84"/>
      <c r="H594" s="84"/>
      <c r="I594" s="206"/>
      <c r="J594" s="85"/>
      <c r="K594" s="141"/>
      <c r="L594" s="85"/>
      <c r="M594" s="323" t="e">
        <f>Tracking_SI[[#This Row],[Chênh lệch 
(thừa so với ĐH)]]/Tracking_SI[[#This Row],[Số  lượng trên ĐH]]</f>
        <v>#DIV/0!</v>
      </c>
    </row>
    <row r="595" spans="1:13" ht="18" customHeight="1">
      <c r="A595" s="57" t="s">
        <v>115</v>
      </c>
      <c r="B595" s="57" t="s">
        <v>170</v>
      </c>
      <c r="C595" s="48"/>
      <c r="D595" s="116">
        <v>45582</v>
      </c>
      <c r="E595" s="25" t="s">
        <v>72</v>
      </c>
      <c r="F595" s="25" t="s">
        <v>8</v>
      </c>
      <c r="G595" s="39">
        <v>6123</v>
      </c>
      <c r="H595" s="180">
        <f>SUM(H596:H597)</f>
        <v>6314</v>
      </c>
      <c r="I595" s="187">
        <f>G595-H595</f>
        <v>-191</v>
      </c>
      <c r="J595" s="24">
        <v>31000</v>
      </c>
      <c r="K595" s="138" t="s">
        <v>116</v>
      </c>
      <c r="L595" s="24"/>
      <c r="M595" s="323">
        <f>Tracking_SI[[#This Row],[Chênh lệch 
(thừa so với ĐH)]]/Tracking_SI[[#This Row],[Số  lượng trên ĐH]]</f>
        <v>-3.1193859219336928E-2</v>
      </c>
    </row>
    <row r="596" spans="1:13" ht="18" customHeight="1">
      <c r="A596" s="57"/>
      <c r="B596" s="57" t="s">
        <v>170</v>
      </c>
      <c r="C596" s="48"/>
      <c r="D596" s="116">
        <v>45667</v>
      </c>
      <c r="F596" s="30"/>
      <c r="G596" s="44"/>
      <c r="H596" s="181">
        <v>4946</v>
      </c>
      <c r="I596" s="187"/>
      <c r="J596" s="32">
        <v>29500</v>
      </c>
      <c r="K596" s="138" t="s">
        <v>118</v>
      </c>
      <c r="L596" s="32"/>
      <c r="M596" s="323" t="e">
        <f>Tracking_SI[[#This Row],[Chênh lệch 
(thừa so với ĐH)]]/Tracking_SI[[#This Row],[Số  lượng trên ĐH]]</f>
        <v>#DIV/0!</v>
      </c>
    </row>
    <row r="597" spans="1:13" ht="18" customHeight="1">
      <c r="A597" s="57"/>
      <c r="B597" s="57" t="s">
        <v>170</v>
      </c>
      <c r="C597" s="48"/>
      <c r="D597" s="116">
        <v>45675</v>
      </c>
      <c r="F597" s="30"/>
      <c r="G597" s="44"/>
      <c r="H597" s="181">
        <v>1368</v>
      </c>
      <c r="I597" s="187"/>
      <c r="J597" s="32">
        <v>31000</v>
      </c>
      <c r="K597" s="138" t="s">
        <v>118</v>
      </c>
      <c r="L597" s="32"/>
      <c r="M597" s="323" t="e">
        <f>Tracking_SI[[#This Row],[Chênh lệch 
(thừa so với ĐH)]]/Tracking_SI[[#This Row],[Số  lượng trên ĐH]]</f>
        <v>#DIV/0!</v>
      </c>
    </row>
    <row r="598" spans="1:13" ht="20.25" customHeight="1">
      <c r="A598" s="57" t="s">
        <v>115</v>
      </c>
      <c r="B598" s="57" t="s">
        <v>170</v>
      </c>
      <c r="C598" s="48"/>
      <c r="D598" s="111">
        <v>45673</v>
      </c>
      <c r="E598" s="25" t="s">
        <v>157</v>
      </c>
      <c r="F598" s="25" t="s">
        <v>8</v>
      </c>
      <c r="G598" s="39">
        <v>15000</v>
      </c>
      <c r="H598" s="173">
        <f>SUM(H599:H607)</f>
        <v>15000</v>
      </c>
      <c r="I598" s="192">
        <f>G598-H598</f>
        <v>0</v>
      </c>
      <c r="J598" s="24">
        <v>31800</v>
      </c>
      <c r="K598" s="357" t="s">
        <v>116</v>
      </c>
      <c r="L598" s="24"/>
      <c r="M598" s="323">
        <f>Tracking_SI[[#This Row],[Chênh lệch 
(thừa so với ĐH)]]/Tracking_SI[[#This Row],[Số  lượng trên ĐH]]</f>
        <v>0</v>
      </c>
    </row>
    <row r="599" spans="1:13" ht="20.25" customHeight="1">
      <c r="A599" s="57"/>
      <c r="B599" s="57" t="s">
        <v>170</v>
      </c>
      <c r="C599" s="48"/>
      <c r="D599" s="116">
        <v>45692</v>
      </c>
      <c r="E599" s="30" t="s">
        <v>157</v>
      </c>
      <c r="F599" s="30"/>
      <c r="G599" s="31"/>
      <c r="H599" s="166">
        <v>1099</v>
      </c>
      <c r="I599" s="189"/>
      <c r="J599" s="32"/>
      <c r="K599" s="196" t="s">
        <v>118</v>
      </c>
      <c r="L599" s="32"/>
      <c r="M599" s="323" t="e">
        <f>Tracking_SI[[#This Row],[Chênh lệch 
(thừa so với ĐH)]]/Tracking_SI[[#This Row],[Số  lượng trên ĐH]]</f>
        <v>#DIV/0!</v>
      </c>
    </row>
    <row r="600" spans="1:13" ht="20.25" customHeight="1">
      <c r="A600" s="57"/>
      <c r="B600" s="57" t="s">
        <v>170</v>
      </c>
      <c r="C600" s="48"/>
      <c r="D600" s="116">
        <v>45708</v>
      </c>
      <c r="E600" s="30" t="s">
        <v>157</v>
      </c>
      <c r="F600" s="30"/>
      <c r="G600" s="31"/>
      <c r="H600" s="166">
        <v>1095</v>
      </c>
      <c r="I600" s="187"/>
      <c r="J600" s="32">
        <v>29500</v>
      </c>
      <c r="K600" s="196" t="s">
        <v>118</v>
      </c>
      <c r="L600" s="32"/>
      <c r="M600" s="323" t="e">
        <f>Tracking_SI[[#This Row],[Chênh lệch 
(thừa so với ĐH)]]/Tracking_SI[[#This Row],[Số  lượng trên ĐH]]</f>
        <v>#DIV/0!</v>
      </c>
    </row>
    <row r="601" spans="1:13" ht="20.25" customHeight="1">
      <c r="A601" s="57"/>
      <c r="B601" s="57" t="s">
        <v>170</v>
      </c>
      <c r="C601" s="48"/>
      <c r="D601" s="116">
        <v>45712</v>
      </c>
      <c r="E601" s="30" t="s">
        <v>157</v>
      </c>
      <c r="F601" s="30"/>
      <c r="G601" s="31"/>
      <c r="H601" s="166">
        <v>1095</v>
      </c>
      <c r="I601" s="187"/>
      <c r="J601" s="32">
        <v>29500</v>
      </c>
      <c r="K601" s="196" t="s">
        <v>118</v>
      </c>
      <c r="L601" s="32"/>
      <c r="M601" s="323" t="e">
        <f>Tracking_SI[[#This Row],[Chênh lệch 
(thừa so với ĐH)]]/Tracking_SI[[#This Row],[Số  lượng trên ĐH]]</f>
        <v>#DIV/0!</v>
      </c>
    </row>
    <row r="602" spans="1:13" ht="20.25" customHeight="1">
      <c r="A602" s="57"/>
      <c r="B602" s="57" t="s">
        <v>170</v>
      </c>
      <c r="C602" s="48"/>
      <c r="D602" s="116">
        <v>45722</v>
      </c>
      <c r="E602" s="30" t="s">
        <v>157</v>
      </c>
      <c r="F602" s="30"/>
      <c r="G602" s="31"/>
      <c r="H602" s="166">
        <v>2192</v>
      </c>
      <c r="I602" s="187"/>
      <c r="J602" s="32">
        <v>29500</v>
      </c>
      <c r="K602" s="196" t="s">
        <v>118</v>
      </c>
      <c r="L602" s="32"/>
      <c r="M602" s="323" t="e">
        <f>Tracking_SI[[#This Row],[Chênh lệch 
(thừa so với ĐH)]]/Tracking_SI[[#This Row],[Số  lượng trên ĐH]]</f>
        <v>#DIV/0!</v>
      </c>
    </row>
    <row r="603" spans="1:13" ht="20.25" customHeight="1">
      <c r="A603" s="57"/>
      <c r="B603" s="57" t="s">
        <v>170</v>
      </c>
      <c r="C603" s="48"/>
      <c r="D603" s="116">
        <v>45769</v>
      </c>
      <c r="E603" s="30" t="s">
        <v>157</v>
      </c>
      <c r="F603" s="30"/>
      <c r="G603" s="31"/>
      <c r="H603" s="166">
        <v>2717</v>
      </c>
      <c r="I603" s="187"/>
      <c r="J603" s="32">
        <v>29500</v>
      </c>
      <c r="K603" s="196" t="s">
        <v>118</v>
      </c>
      <c r="L603" s="32"/>
      <c r="M603" s="323" t="e">
        <f>Tracking_SI[[#This Row],[Chênh lệch 
(thừa so với ĐH)]]/Tracking_SI[[#This Row],[Số  lượng trên ĐH]]</f>
        <v>#DIV/0!</v>
      </c>
    </row>
    <row r="604" spans="1:13" ht="20.25" customHeight="1">
      <c r="A604" s="57"/>
      <c r="B604" s="57" t="s">
        <v>170</v>
      </c>
      <c r="C604" s="48"/>
      <c r="D604" s="116">
        <v>45785</v>
      </c>
      <c r="E604" s="30" t="s">
        <v>157</v>
      </c>
      <c r="F604" s="30"/>
      <c r="G604" s="31"/>
      <c r="H604" s="166">
        <v>1349</v>
      </c>
      <c r="I604" s="187"/>
      <c r="J604" s="32">
        <v>29500</v>
      </c>
      <c r="K604" s="196" t="s">
        <v>118</v>
      </c>
      <c r="L604" s="32"/>
      <c r="M604" s="323" t="e">
        <f>Tracking_SI[[#This Row],[Chênh lệch 
(thừa so với ĐH)]]/Tracking_SI[[#This Row],[Số  lượng trên ĐH]]</f>
        <v>#DIV/0!</v>
      </c>
    </row>
    <row r="605" spans="1:13" ht="20.25" customHeight="1">
      <c r="A605" s="57"/>
      <c r="B605" s="57" t="s">
        <v>170</v>
      </c>
      <c r="C605" s="48"/>
      <c r="D605" s="116">
        <v>45787</v>
      </c>
      <c r="E605" s="30" t="s">
        <v>157</v>
      </c>
      <c r="F605" s="30"/>
      <c r="G605" s="31"/>
      <c r="H605" s="166">
        <v>2181</v>
      </c>
      <c r="I605" s="187"/>
      <c r="J605" s="32">
        <v>29500</v>
      </c>
      <c r="K605" s="196" t="s">
        <v>118</v>
      </c>
      <c r="L605" s="32"/>
      <c r="M605" s="323" t="e">
        <f>Tracking_SI[[#This Row],[Chênh lệch 
(thừa so với ĐH)]]/Tracking_SI[[#This Row],[Số  lượng trên ĐH]]</f>
        <v>#DIV/0!</v>
      </c>
    </row>
    <row r="606" spans="1:13" ht="20.25" customHeight="1">
      <c r="A606" s="57"/>
      <c r="B606" s="57" t="s">
        <v>170</v>
      </c>
      <c r="C606" s="48"/>
      <c r="D606" s="116">
        <v>45793</v>
      </c>
      <c r="E606" s="30" t="s">
        <v>157</v>
      </c>
      <c r="F606" s="30"/>
      <c r="G606" s="31"/>
      <c r="H606" s="166">
        <v>1911</v>
      </c>
      <c r="I606" s="187"/>
      <c r="J606" s="32">
        <v>29500</v>
      </c>
      <c r="K606" s="196" t="s">
        <v>118</v>
      </c>
      <c r="L606" s="32"/>
      <c r="M606" s="323" t="e">
        <f>Tracking_SI[[#This Row],[Chênh lệch 
(thừa so với ĐH)]]/Tracking_SI[[#This Row],[Số  lượng trên ĐH]]</f>
        <v>#DIV/0!</v>
      </c>
    </row>
    <row r="607" spans="1:13" ht="20.25" customHeight="1">
      <c r="A607" s="57"/>
      <c r="B607" s="57" t="s">
        <v>170</v>
      </c>
      <c r="C607" s="312"/>
      <c r="D607" s="116">
        <v>45884</v>
      </c>
      <c r="E607" s="30" t="s">
        <v>157</v>
      </c>
      <c r="F607" s="30"/>
      <c r="G607" s="31"/>
      <c r="H607" s="166">
        <v>1361</v>
      </c>
      <c r="I607" s="187"/>
      <c r="J607" s="32"/>
      <c r="K607" s="196" t="s">
        <v>118</v>
      </c>
      <c r="L607" s="32"/>
      <c r="M607" s="323" t="e">
        <f>Tracking_SI[[#This Row],[Chênh lệch 
(thừa so với ĐH)]]/Tracking_SI[[#This Row],[Số  lượng trên ĐH]]</f>
        <v>#DIV/0!</v>
      </c>
    </row>
    <row r="608" spans="1:13" ht="20.25" customHeight="1">
      <c r="A608" s="57" t="s">
        <v>115</v>
      </c>
      <c r="B608" s="57" t="s">
        <v>170</v>
      </c>
      <c r="C608" s="312"/>
      <c r="D608" s="154">
        <v>45862</v>
      </c>
      <c r="E608" s="155" t="s">
        <v>169</v>
      </c>
      <c r="F608" s="155"/>
      <c r="G608" s="156">
        <v>5000</v>
      </c>
      <c r="H608" s="168">
        <f>SUM(H609:H612)</f>
        <v>5610</v>
      </c>
      <c r="I608" s="202">
        <f>Tracking_SI[[#This Row],[Số  lượng trên ĐH]]-Tracking_SI[[#This Row],[Số  lượng giao]]</f>
        <v>-610</v>
      </c>
      <c r="J608" s="302"/>
      <c r="K608" s="357" t="s">
        <v>116</v>
      </c>
      <c r="L608" s="32"/>
      <c r="M608" s="323">
        <f>Tracking_SI[[#This Row],[Chênh lệch 
(thừa so với ĐH)]]/Tracking_SI[[#This Row],[Số  lượng trên ĐH]]</f>
        <v>-0.122</v>
      </c>
    </row>
    <row r="609" spans="1:13" ht="20.25" customHeight="1">
      <c r="A609" s="57"/>
      <c r="B609" s="57" t="s">
        <v>170</v>
      </c>
      <c r="C609" s="312"/>
      <c r="D609" s="116">
        <v>45884</v>
      </c>
      <c r="E609" s="30" t="s">
        <v>169</v>
      </c>
      <c r="F609" s="30"/>
      <c r="G609" s="31"/>
      <c r="H609" s="166">
        <f>2738-H607</f>
        <v>1377</v>
      </c>
      <c r="I609" s="187"/>
      <c r="J609" s="32"/>
      <c r="K609" s="196" t="s">
        <v>118</v>
      </c>
      <c r="L609" s="32"/>
      <c r="M609" s="323" t="e">
        <f>Tracking_SI[[#This Row],[Chênh lệch 
(thừa so với ĐH)]]/Tracking_SI[[#This Row],[Số  lượng trên ĐH]]</f>
        <v>#DIV/0!</v>
      </c>
    </row>
    <row r="610" spans="1:13" ht="20.25" customHeight="1">
      <c r="A610" s="57"/>
      <c r="B610" s="57" t="s">
        <v>170</v>
      </c>
      <c r="C610" s="312"/>
      <c r="D610" s="116">
        <v>45892</v>
      </c>
      <c r="E610" s="30" t="s">
        <v>169</v>
      </c>
      <c r="F610" s="30"/>
      <c r="G610" s="31"/>
      <c r="H610" s="166">
        <v>2444</v>
      </c>
      <c r="I610" s="187"/>
      <c r="J610" s="32"/>
      <c r="K610" s="196" t="s">
        <v>118</v>
      </c>
      <c r="L610" s="32"/>
      <c r="M610" s="323" t="e">
        <f>Tracking_SI[[#This Row],[Chênh lệch 
(thừa so với ĐH)]]/Tracking_SI[[#This Row],[Số  lượng trên ĐH]]</f>
        <v>#DIV/0!</v>
      </c>
    </row>
    <row r="611" spans="1:13" ht="20.25" customHeight="1">
      <c r="A611" s="57"/>
      <c r="B611" s="57" t="s">
        <v>170</v>
      </c>
      <c r="C611" s="312"/>
      <c r="D611" s="116" t="s">
        <v>193</v>
      </c>
      <c r="E611" s="30" t="s">
        <v>169</v>
      </c>
      <c r="F611" s="30"/>
      <c r="G611" s="31"/>
      <c r="H611" s="166">
        <v>163</v>
      </c>
      <c r="I611" s="187"/>
      <c r="J611" s="32"/>
      <c r="K611" s="196" t="s">
        <v>118</v>
      </c>
      <c r="L611" s="32"/>
      <c r="M611" s="323" t="e">
        <f>Tracking_SI[[#This Row],[Chênh lệch 
(thừa so với ĐH)]]/Tracking_SI[[#This Row],[Số  lượng trên ĐH]]</f>
        <v>#DIV/0!</v>
      </c>
    </row>
    <row r="612" spans="1:13" ht="20.25" customHeight="1">
      <c r="A612" s="57"/>
      <c r="B612" s="57" t="s">
        <v>170</v>
      </c>
      <c r="C612" s="312"/>
      <c r="D612" s="116">
        <v>46044</v>
      </c>
      <c r="E612" s="30" t="s">
        <v>169</v>
      </c>
      <c r="F612" s="30"/>
      <c r="G612" s="31"/>
      <c r="H612" s="166">
        <v>1626</v>
      </c>
      <c r="I612" s="187"/>
      <c r="J612" s="32"/>
      <c r="K612" s="196" t="s">
        <v>118</v>
      </c>
      <c r="L612" s="32"/>
      <c r="M612" s="323" t="e">
        <f>Tracking_SI[[#This Row],[Chênh lệch 
(thừa so với ĐH)]]/Tracking_SI[[#This Row],[Số  lượng trên ĐH]]</f>
        <v>#DIV/0!</v>
      </c>
    </row>
    <row r="613" spans="1:13" ht="20.25" customHeight="1">
      <c r="A613" s="57"/>
      <c r="B613" s="57" t="s">
        <v>170</v>
      </c>
      <c r="C613" s="312"/>
      <c r="D613" s="341">
        <v>46064</v>
      </c>
      <c r="E613" s="342" t="s">
        <v>202</v>
      </c>
      <c r="F613" s="30"/>
      <c r="G613" s="347">
        <v>20000</v>
      </c>
      <c r="H613" s="343">
        <f>SUM(H614:H617)</f>
        <v>14157</v>
      </c>
      <c r="I613" s="361">
        <f>Tracking_SI[[#This Row],[Số  lượng trên ĐH]]-Tracking_SI[[#This Row],[Số  lượng giao]]</f>
        <v>5843</v>
      </c>
      <c r="J613" s="32"/>
      <c r="K613" s="356"/>
      <c r="L613" s="32"/>
      <c r="M613" s="323">
        <f>Tracking_SI[[#This Row],[Chênh lệch 
(thừa so với ĐH)]]/Tracking_SI[[#This Row],[Số  lượng trên ĐH]]</f>
        <v>0.29215000000000002</v>
      </c>
    </row>
    <row r="614" spans="1:13" ht="20.25" customHeight="1">
      <c r="A614" s="57"/>
      <c r="B614" s="57" t="s">
        <v>170</v>
      </c>
      <c r="C614" s="312"/>
      <c r="D614" s="116">
        <v>46065</v>
      </c>
      <c r="E614" s="30" t="s">
        <v>202</v>
      </c>
      <c r="F614" s="30"/>
      <c r="G614" s="31"/>
      <c r="H614" s="166">
        <v>10091</v>
      </c>
      <c r="I614" s="187"/>
      <c r="J614" s="32"/>
      <c r="K614" s="133"/>
      <c r="L614" s="32"/>
      <c r="M614" s="323" t="e">
        <f>Tracking_SI[[#This Row],[Chênh lệch 
(thừa so với ĐH)]]/Tracking_SI[[#This Row],[Số  lượng trên ĐH]]</f>
        <v>#DIV/0!</v>
      </c>
    </row>
    <row r="615" spans="1:13" ht="18" customHeight="1">
      <c r="A615" s="57"/>
      <c r="B615" s="57" t="s">
        <v>170</v>
      </c>
      <c r="C615" s="261"/>
      <c r="D615" s="116">
        <v>46078</v>
      </c>
      <c r="E615" s="27" t="s">
        <v>202</v>
      </c>
      <c r="F615" s="30"/>
      <c r="G615" s="31"/>
      <c r="H615" s="164">
        <v>4066</v>
      </c>
      <c r="I615" s="187"/>
      <c r="J615" s="32"/>
      <c r="K615" s="133"/>
      <c r="L615" s="32"/>
      <c r="M615" s="326" t="e">
        <f>Tracking_SI[[#This Row],[Chênh lệch 
(thừa so với ĐH)]]/Tracking_SI[[#This Row],[Số  lượng trên ĐH]]</f>
        <v>#DIV/0!</v>
      </c>
    </row>
    <row r="616" spans="1:13" ht="18" customHeight="1">
      <c r="A616" s="57"/>
      <c r="B616" s="57" t="s">
        <v>170</v>
      </c>
      <c r="C616" s="261"/>
      <c r="D616" s="108"/>
      <c r="E616" s="30" t="s">
        <v>202</v>
      </c>
      <c r="F616" s="30"/>
      <c r="G616" s="31"/>
      <c r="H616" s="166"/>
      <c r="I616" s="187"/>
      <c r="J616" s="32"/>
      <c r="K616" s="133"/>
      <c r="L616" s="32"/>
      <c r="M616" s="326" t="e">
        <f>Tracking_SI[[#This Row],[Chênh lệch 
(thừa so với ĐH)]]/Tracking_SI[[#This Row],[Số  lượng trên ĐH]]</f>
        <v>#DIV/0!</v>
      </c>
    </row>
    <row r="617" spans="1:13" ht="18" customHeight="1">
      <c r="A617" s="57"/>
      <c r="B617" s="57" t="s">
        <v>170</v>
      </c>
      <c r="C617" s="261"/>
      <c r="D617" s="108"/>
      <c r="E617" s="30" t="s">
        <v>202</v>
      </c>
      <c r="F617" s="30"/>
      <c r="G617" s="31"/>
      <c r="H617" s="166"/>
      <c r="I617" s="187"/>
      <c r="J617" s="32"/>
      <c r="K617" s="133"/>
      <c r="L617" s="32"/>
      <c r="M617" s="326" t="e">
        <f>Tracking_SI[[#This Row],[Chênh lệch 
(thừa so với ĐH)]]/Tracking_SI[[#This Row],[Số  lượng trên ĐH]]</f>
        <v>#DIV/0!</v>
      </c>
    </row>
    <row r="618" spans="1:13" ht="18" customHeight="1">
      <c r="A618" s="57" t="s">
        <v>115</v>
      </c>
      <c r="B618" s="57" t="s">
        <v>170</v>
      </c>
      <c r="C618" s="261"/>
      <c r="D618" s="341">
        <v>46077</v>
      </c>
      <c r="E618" s="342" t="s">
        <v>209</v>
      </c>
      <c r="F618" s="347">
        <v>20000</v>
      </c>
      <c r="G618" s="343">
        <v>20000</v>
      </c>
      <c r="H618" s="361">
        <f>SUM(H619:H623)</f>
        <v>0</v>
      </c>
      <c r="I618" s="361">
        <f>Tracking_SI[[#This Row],[Số  lượng trên ĐH]]-Tracking_SI[[#This Row],[Số  lượng giao]]</f>
        <v>20000</v>
      </c>
      <c r="J618" s="32"/>
      <c r="K618" s="133"/>
      <c r="L618" s="32"/>
      <c r="M618" s="326">
        <f>Tracking_SI[[#This Row],[Chênh lệch 
(thừa so với ĐH)]]/Tracking_SI[[#This Row],[Số  lượng trên ĐH]]</f>
        <v>1</v>
      </c>
    </row>
    <row r="619" spans="1:13" ht="18" customHeight="1">
      <c r="A619" s="57"/>
      <c r="B619" s="57" t="s">
        <v>170</v>
      </c>
      <c r="C619" s="261"/>
      <c r="D619" s="116"/>
      <c r="F619" s="30"/>
      <c r="G619" s="31"/>
      <c r="H619" s="166"/>
      <c r="I619" s="187"/>
      <c r="J619" s="32"/>
      <c r="K619" s="133"/>
      <c r="L619" s="32"/>
      <c r="M619" s="326" t="e">
        <f>Tracking_SI[[#This Row],[Chênh lệch 
(thừa so với ĐH)]]/Tracking_SI[[#This Row],[Số  lượng trên ĐH]]</f>
        <v>#DIV/0!</v>
      </c>
    </row>
    <row r="620" spans="1:13" ht="18" customHeight="1">
      <c r="A620" s="57"/>
      <c r="B620" s="57" t="s">
        <v>170</v>
      </c>
      <c r="C620" s="261"/>
      <c r="D620" s="116"/>
      <c r="F620" s="30"/>
      <c r="G620" s="31"/>
      <c r="H620" s="166"/>
      <c r="I620" s="187"/>
      <c r="J620" s="32"/>
      <c r="K620" s="133"/>
      <c r="L620" s="32"/>
      <c r="M620" s="326" t="e">
        <f>Tracking_SI[[#This Row],[Chênh lệch 
(thừa so với ĐH)]]/Tracking_SI[[#This Row],[Số  lượng trên ĐH]]</f>
        <v>#DIV/0!</v>
      </c>
    </row>
    <row r="621" spans="1:13" ht="18" customHeight="1">
      <c r="A621" s="57"/>
      <c r="B621" s="57" t="s">
        <v>170</v>
      </c>
      <c r="C621" s="261"/>
      <c r="D621" s="116"/>
      <c r="F621" s="30"/>
      <c r="G621" s="31"/>
      <c r="H621" s="166"/>
      <c r="I621" s="187"/>
      <c r="J621" s="32"/>
      <c r="K621" s="133"/>
      <c r="L621" s="32"/>
      <c r="M621" s="326" t="e">
        <f>Tracking_SI[[#This Row],[Chênh lệch 
(thừa so với ĐH)]]/Tracking_SI[[#This Row],[Số  lượng trên ĐH]]</f>
        <v>#DIV/0!</v>
      </c>
    </row>
    <row r="622" spans="1:13" ht="18" customHeight="1">
      <c r="A622" s="57"/>
      <c r="B622" s="57" t="s">
        <v>170</v>
      </c>
      <c r="C622" s="261"/>
      <c r="D622" s="116"/>
      <c r="F622" s="30"/>
      <c r="G622" s="31"/>
      <c r="H622" s="166"/>
      <c r="I622" s="187"/>
      <c r="J622" s="32"/>
      <c r="K622" s="133"/>
      <c r="L622" s="32"/>
      <c r="M622" s="326" t="e">
        <f>Tracking_SI[[#This Row],[Chênh lệch 
(thừa so với ĐH)]]/Tracking_SI[[#This Row],[Số  lượng trên ĐH]]</f>
        <v>#DIV/0!</v>
      </c>
    </row>
    <row r="623" spans="1:13" ht="18" customHeight="1">
      <c r="A623" s="57"/>
      <c r="B623" s="57" t="s">
        <v>170</v>
      </c>
      <c r="C623" s="48"/>
      <c r="D623" s="116"/>
      <c r="F623" s="30"/>
      <c r="G623" s="44"/>
      <c r="H623" s="174"/>
      <c r="I623" s="187"/>
      <c r="J623" s="32"/>
      <c r="K623" s="133"/>
      <c r="L623" s="32"/>
      <c r="M623" s="323" t="e">
        <f>Tracking_SI[[#This Row],[Chênh lệch 
(thừa so với ĐH)]]/Tracking_SI[[#This Row],[Số  lượng trên ĐH]]</f>
        <v>#DIV/0!</v>
      </c>
    </row>
    <row r="624" spans="1:13" ht="18" customHeight="1">
      <c r="A624" s="58" t="s">
        <v>106</v>
      </c>
      <c r="B624" s="81"/>
      <c r="C624" s="82" t="s">
        <v>74</v>
      </c>
      <c r="D624" s="118"/>
      <c r="E624" s="83"/>
      <c r="F624" s="84"/>
      <c r="G624" s="84"/>
      <c r="H624" s="84"/>
      <c r="I624" s="206"/>
      <c r="J624" s="87"/>
      <c r="K624" s="142"/>
      <c r="L624" s="85"/>
      <c r="M624" s="323" t="e">
        <f>Tracking_SI[[#This Row],[Chênh lệch 
(thừa so với ĐH)]]/Tracking_SI[[#This Row],[Số  lượng trên ĐH]]</f>
        <v>#DIV/0!</v>
      </c>
    </row>
    <row r="625" spans="1:13" ht="18" customHeight="1">
      <c r="A625" s="58" t="s">
        <v>115</v>
      </c>
      <c r="B625" s="112"/>
      <c r="C625" s="46"/>
      <c r="D625" s="111">
        <v>45306</v>
      </c>
      <c r="E625" s="25" t="s">
        <v>75</v>
      </c>
      <c r="F625" s="25" t="s">
        <v>8</v>
      </c>
      <c r="G625" s="24">
        <v>2000</v>
      </c>
      <c r="H625" s="170">
        <f>SUM(H626:H628)</f>
        <v>0</v>
      </c>
      <c r="I625" s="192">
        <f>G625-H625</f>
        <v>2000</v>
      </c>
      <c r="J625" s="24">
        <v>31000</v>
      </c>
      <c r="K625" s="127" t="s">
        <v>215</v>
      </c>
      <c r="L625" s="45"/>
      <c r="M625" s="323">
        <f>Tracking_SI[[#This Row],[Chênh lệch 
(thừa so với ĐH)]]/Tracking_SI[[#This Row],[Số  lượng trên ĐH]]</f>
        <v>1</v>
      </c>
    </row>
    <row r="626" spans="1:13" ht="18" customHeight="1">
      <c r="A626" s="57"/>
      <c r="B626" s="112"/>
      <c r="C626" s="46"/>
      <c r="D626" s="116"/>
      <c r="F626" s="30"/>
      <c r="G626" s="30"/>
      <c r="H626" s="169"/>
      <c r="I626" s="187"/>
      <c r="J626" s="37"/>
      <c r="K626" s="139"/>
      <c r="L626" s="37"/>
      <c r="M626" s="323" t="e">
        <f>Tracking_SI[[#This Row],[Chênh lệch 
(thừa so với ĐH)]]/Tracking_SI[[#This Row],[Số  lượng trên ĐH]]</f>
        <v>#DIV/0!</v>
      </c>
    </row>
    <row r="627" spans="1:13" ht="18" customHeight="1">
      <c r="A627" s="57"/>
      <c r="B627" s="112"/>
      <c r="C627" s="46"/>
      <c r="D627" s="116"/>
      <c r="F627" s="30"/>
      <c r="G627" s="30"/>
      <c r="H627" s="169"/>
      <c r="I627" s="187"/>
      <c r="J627" s="37"/>
      <c r="K627" s="139"/>
      <c r="L627" s="37"/>
      <c r="M627" s="323" t="e">
        <f>Tracking_SI[[#This Row],[Chênh lệch 
(thừa so với ĐH)]]/Tracking_SI[[#This Row],[Số  lượng trên ĐH]]</f>
        <v>#DIV/0!</v>
      </c>
    </row>
    <row r="628" spans="1:13" ht="18" customHeight="1">
      <c r="A628" s="57"/>
      <c r="B628" s="112"/>
      <c r="C628" s="46"/>
      <c r="D628" s="116"/>
      <c r="F628" s="30"/>
      <c r="G628" s="30"/>
      <c r="H628" s="169"/>
      <c r="I628" s="187"/>
      <c r="J628" s="37"/>
      <c r="K628" s="139"/>
      <c r="L628" s="37"/>
      <c r="M628" s="323" t="e">
        <f>Tracking_SI[[#This Row],[Chênh lệch 
(thừa so với ĐH)]]/Tracking_SI[[#This Row],[Số  lượng trên ĐH]]</f>
        <v>#DIV/0!</v>
      </c>
    </row>
    <row r="629" spans="1:13" ht="18" customHeight="1">
      <c r="A629" s="58" t="s">
        <v>106</v>
      </c>
      <c r="B629" s="81"/>
      <c r="C629" s="82" t="s">
        <v>76</v>
      </c>
      <c r="D629" s="118"/>
      <c r="E629" s="83"/>
      <c r="F629" s="84"/>
      <c r="G629" s="84"/>
      <c r="H629" s="84"/>
      <c r="I629" s="207"/>
      <c r="J629" s="87"/>
      <c r="K629" s="142"/>
      <c r="L629" s="85"/>
      <c r="M629" s="323" t="e">
        <f>Tracking_SI[[#This Row],[Chênh lệch 
(thừa so với ĐH)]]/Tracking_SI[[#This Row],[Số  lượng trên ĐH]]</f>
        <v>#DIV/0!</v>
      </c>
    </row>
    <row r="630" spans="1:13" ht="20.25" customHeight="1">
      <c r="A630" s="58" t="s">
        <v>115</v>
      </c>
      <c r="B630" s="112"/>
      <c r="C630" s="50"/>
      <c r="D630" s="116">
        <v>45341</v>
      </c>
      <c r="E630" s="24" t="s">
        <v>29</v>
      </c>
      <c r="F630" s="24" t="s">
        <v>8</v>
      </c>
      <c r="G630" s="24">
        <v>1215</v>
      </c>
      <c r="H630" s="175">
        <f>SUM(H631:H631)</f>
        <v>1215</v>
      </c>
      <c r="I630" s="187">
        <f>G630-H630</f>
        <v>0</v>
      </c>
      <c r="J630" s="24">
        <v>29700</v>
      </c>
      <c r="K630" s="138" t="s">
        <v>116</v>
      </c>
      <c r="L630" s="24"/>
      <c r="M630" s="323">
        <f>Tracking_SI[[#This Row],[Chênh lệch 
(thừa so với ĐH)]]/Tracking_SI[[#This Row],[Số  lượng trên ĐH]]</f>
        <v>0</v>
      </c>
    </row>
    <row r="631" spans="1:13" ht="20.25" customHeight="1">
      <c r="A631" s="57"/>
      <c r="B631" s="112"/>
      <c r="C631" s="50"/>
      <c r="D631" s="116">
        <v>45675</v>
      </c>
      <c r="E631" s="31">
        <v>77</v>
      </c>
      <c r="F631" s="31"/>
      <c r="G631" s="31"/>
      <c r="H631" s="177">
        <v>1215</v>
      </c>
      <c r="I631" s="187"/>
      <c r="J631" s="32"/>
      <c r="K631" s="138" t="s">
        <v>118</v>
      </c>
      <c r="L631" s="32"/>
      <c r="M631" s="323" t="e">
        <f>Tracking_SI[[#This Row],[Chênh lệch 
(thừa so với ĐH)]]/Tracking_SI[[#This Row],[Số  lượng trên ĐH]]</f>
        <v>#DIV/0!</v>
      </c>
    </row>
    <row r="632" spans="1:13" ht="20.25" customHeight="1">
      <c r="A632" s="58" t="s">
        <v>115</v>
      </c>
      <c r="B632" s="112"/>
      <c r="C632" s="50"/>
      <c r="D632" s="111">
        <v>45659</v>
      </c>
      <c r="E632" s="25" t="s">
        <v>39</v>
      </c>
      <c r="F632" s="25" t="s">
        <v>8</v>
      </c>
      <c r="G632" s="24">
        <v>5000</v>
      </c>
      <c r="H632" s="163">
        <f>SUM(H633:H634)</f>
        <v>1705</v>
      </c>
      <c r="I632" s="192">
        <f>G632-H632</f>
        <v>3295</v>
      </c>
      <c r="J632" s="24">
        <v>32000</v>
      </c>
      <c r="K632" s="130"/>
      <c r="L632" s="24"/>
      <c r="M632" s="323">
        <f>Tracking_SI[[#This Row],[Chênh lệch 
(thừa so với ĐH)]]/Tracking_SI[[#This Row],[Số  lượng trên ĐH]]</f>
        <v>0.65900000000000003</v>
      </c>
    </row>
    <row r="633" spans="1:13" ht="20.25" customHeight="1">
      <c r="A633" s="57"/>
      <c r="B633" s="112"/>
      <c r="C633" s="50"/>
      <c r="D633" s="116">
        <v>45675</v>
      </c>
      <c r="E633" s="27">
        <v>78</v>
      </c>
      <c r="F633" s="25"/>
      <c r="G633" s="31"/>
      <c r="H633" s="166">
        <v>1705</v>
      </c>
      <c r="I633" s="187"/>
      <c r="J633" s="32"/>
      <c r="K633" s="133"/>
      <c r="L633" s="32"/>
      <c r="M633" s="323" t="e">
        <f>Tracking_SI[[#This Row],[Chênh lệch 
(thừa so với ĐH)]]/Tracking_SI[[#This Row],[Số  lượng trên ĐH]]</f>
        <v>#DIV/0!</v>
      </c>
    </row>
    <row r="634" spans="1:13" ht="20.25" customHeight="1">
      <c r="A634" s="57"/>
      <c r="B634" s="112"/>
      <c r="C634" s="50"/>
      <c r="D634" s="111"/>
      <c r="E634" s="25"/>
      <c r="F634" s="25"/>
      <c r="G634" s="24"/>
      <c r="H634" s="163"/>
      <c r="I634" s="192"/>
      <c r="J634" s="24"/>
      <c r="K634" s="130"/>
      <c r="L634" s="32"/>
      <c r="M634" s="323" t="e">
        <f>Tracking_SI[[#This Row],[Chênh lệch 
(thừa so với ĐH)]]/Tracking_SI[[#This Row],[Số  lượng trên ĐH]]</f>
        <v>#DIV/0!</v>
      </c>
    </row>
    <row r="635" spans="1:13" ht="20.25" customHeight="1">
      <c r="A635" s="57"/>
      <c r="B635" s="112"/>
      <c r="C635" s="50"/>
      <c r="D635" s="116"/>
      <c r="E635" s="31"/>
      <c r="F635" s="31"/>
      <c r="G635" s="31"/>
      <c r="H635" s="166"/>
      <c r="I635" s="187"/>
      <c r="J635" s="32"/>
      <c r="K635" s="133"/>
      <c r="L635" s="32"/>
      <c r="M635" s="326" t="e">
        <f>Tracking_SI[[#This Row],[Chênh lệch 
(thừa so với ĐH)]]/Tracking_SI[[#This Row],[Số  lượng trên ĐH]]</f>
        <v>#DIV/0!</v>
      </c>
    </row>
    <row r="636" spans="1:13" ht="20.25" customHeight="1">
      <c r="A636" s="58" t="s">
        <v>106</v>
      </c>
      <c r="B636" s="81"/>
      <c r="C636" s="88" t="s">
        <v>77</v>
      </c>
      <c r="D636" s="118"/>
      <c r="E636" s="83"/>
      <c r="F636" s="83"/>
      <c r="G636" s="83"/>
      <c r="H636" s="83"/>
      <c r="I636" s="206"/>
      <c r="J636" s="87"/>
      <c r="K636" s="142"/>
      <c r="L636" s="85"/>
      <c r="M636" s="326" t="e">
        <f>Tracking_SI[[#This Row],[Chênh lệch 
(thừa so với ĐH)]]/Tracking_SI[[#This Row],[Số  lượng trên ĐH]]</f>
        <v>#DIV/0!</v>
      </c>
    </row>
    <row r="637" spans="1:13" ht="20.25" customHeight="1">
      <c r="A637" s="58" t="s">
        <v>115</v>
      </c>
      <c r="B637" s="112"/>
      <c r="C637" s="46"/>
      <c r="D637" s="183">
        <v>45505</v>
      </c>
      <c r="E637" s="194" t="s">
        <v>78</v>
      </c>
      <c r="F637" s="28" t="s">
        <v>43</v>
      </c>
      <c r="G637" s="149">
        <v>1603</v>
      </c>
      <c r="H637" s="172">
        <f>SUM(H638:H639)</f>
        <v>0</v>
      </c>
      <c r="I637" s="200">
        <f>G637-H637</f>
        <v>1603</v>
      </c>
      <c r="J637" s="149">
        <v>33900</v>
      </c>
      <c r="K637" s="127" t="s">
        <v>215</v>
      </c>
      <c r="L637" s="29"/>
      <c r="M637" s="323">
        <f>Tracking_SI[[#This Row],[Chênh lệch 
(thừa so với ĐH)]]/Tracking_SI[[#This Row],[Số  lượng trên ĐH]]</f>
        <v>1</v>
      </c>
    </row>
    <row r="638" spans="1:13" ht="20.25" customHeight="1">
      <c r="A638" s="57"/>
      <c r="B638" s="112"/>
      <c r="C638" s="46"/>
      <c r="D638" s="116"/>
      <c r="F638" s="30"/>
      <c r="G638" s="31"/>
      <c r="H638" s="166"/>
      <c r="I638" s="189"/>
      <c r="J638" s="32"/>
      <c r="K638" s="133"/>
      <c r="L638" s="32"/>
      <c r="M638" s="323" t="e">
        <f>Tracking_SI[[#This Row],[Chênh lệch 
(thừa so với ĐH)]]/Tracking_SI[[#This Row],[Số  lượng trên ĐH]]</f>
        <v>#DIV/0!</v>
      </c>
    </row>
    <row r="639" spans="1:13" ht="20.25" customHeight="1">
      <c r="A639" s="57"/>
      <c r="B639" s="112"/>
      <c r="C639" s="46"/>
      <c r="D639" s="116"/>
      <c r="F639" s="30"/>
      <c r="G639" s="31"/>
      <c r="H639" s="166"/>
      <c r="I639" s="187"/>
      <c r="J639" s="32"/>
      <c r="K639" s="133"/>
      <c r="L639" s="32"/>
      <c r="M639" s="323" t="e">
        <f>Tracking_SI[[#This Row],[Chênh lệch 
(thừa so với ĐH)]]/Tracking_SI[[#This Row],[Số  lượng trên ĐH]]</f>
        <v>#DIV/0!</v>
      </c>
    </row>
    <row r="640" spans="1:13" ht="20.25" customHeight="1">
      <c r="A640" s="57"/>
      <c r="B640" s="112"/>
      <c r="C640" s="46"/>
      <c r="D640" s="116"/>
      <c r="F640" s="30"/>
      <c r="G640" s="31"/>
      <c r="H640" s="166"/>
      <c r="I640" s="187"/>
      <c r="J640" s="32"/>
      <c r="K640" s="133"/>
      <c r="L640" s="32"/>
      <c r="M640" s="323" t="e">
        <f>Tracking_SI[[#This Row],[Chênh lệch 
(thừa so với ĐH)]]/Tracking_SI[[#This Row],[Số  lượng trên ĐH]]</f>
        <v>#DIV/0!</v>
      </c>
    </row>
    <row r="641" spans="1:13" ht="20.25" customHeight="1">
      <c r="A641" s="57"/>
      <c r="B641" s="112"/>
      <c r="C641" s="46"/>
      <c r="D641" s="116"/>
      <c r="F641" s="30"/>
      <c r="G641" s="31"/>
      <c r="H641" s="166"/>
      <c r="I641" s="187"/>
      <c r="J641" s="32"/>
      <c r="K641" s="133"/>
      <c r="L641" s="32"/>
      <c r="M641" s="323" t="e">
        <f>Tracking_SI[[#This Row],[Chênh lệch 
(thừa so với ĐH)]]/Tracking_SI[[#This Row],[Số  lượng trên ĐH]]</f>
        <v>#DIV/0!</v>
      </c>
    </row>
    <row r="642" spans="1:13" ht="20.25" customHeight="1">
      <c r="A642" s="57"/>
      <c r="B642" s="112"/>
      <c r="C642" s="46"/>
      <c r="D642" s="116"/>
      <c r="F642" s="30"/>
      <c r="G642" s="31"/>
      <c r="H642" s="166"/>
      <c r="I642" s="187"/>
      <c r="J642" s="32"/>
      <c r="K642" s="133"/>
      <c r="L642" s="32"/>
      <c r="M642" s="323" t="e">
        <f>Tracking_SI[[#This Row],[Chênh lệch 
(thừa so với ĐH)]]/Tracking_SI[[#This Row],[Số  lượng trên ĐH]]</f>
        <v>#DIV/0!</v>
      </c>
    </row>
    <row r="643" spans="1:13" ht="20.25" customHeight="1">
      <c r="A643" s="57"/>
      <c r="B643" s="112"/>
      <c r="C643" s="46"/>
      <c r="D643" s="116"/>
      <c r="F643" s="30"/>
      <c r="G643" s="31"/>
      <c r="H643" s="166"/>
      <c r="I643" s="187"/>
      <c r="J643" s="32"/>
      <c r="K643" s="133"/>
      <c r="L643" s="32"/>
      <c r="M643" s="323" t="e">
        <f>Tracking_SI[[#This Row],[Chênh lệch 
(thừa so với ĐH)]]/Tracking_SI[[#This Row],[Số  lượng trên ĐH]]</f>
        <v>#DIV/0!</v>
      </c>
    </row>
    <row r="644" spans="1:13" ht="20.25" customHeight="1">
      <c r="A644" s="58" t="s">
        <v>106</v>
      </c>
      <c r="B644" s="81" t="s">
        <v>79</v>
      </c>
      <c r="C644" s="88" t="s">
        <v>112</v>
      </c>
      <c r="D644" s="118"/>
      <c r="E644" s="83"/>
      <c r="F644" s="83"/>
      <c r="G644" s="83"/>
      <c r="H644" s="84"/>
      <c r="I644" s="206"/>
      <c r="J644" s="85"/>
      <c r="K644" s="141"/>
      <c r="L644" s="85"/>
      <c r="M644" s="323" t="e">
        <f>Tracking_SI[[#This Row],[Chênh lệch 
(thừa so với ĐH)]]/Tracking_SI[[#This Row],[Số  lượng trên ĐH]]</f>
        <v>#DIV/0!</v>
      </c>
    </row>
    <row r="645" spans="1:13" ht="20.25" customHeight="1">
      <c r="A645" s="58" t="s">
        <v>115</v>
      </c>
      <c r="B645" s="57" t="s">
        <v>79</v>
      </c>
      <c r="C645" s="109"/>
      <c r="D645" s="111">
        <v>45628</v>
      </c>
      <c r="E645" s="25" t="s">
        <v>80</v>
      </c>
      <c r="F645" s="25" t="s">
        <v>21</v>
      </c>
      <c r="G645" s="24">
        <v>3395</v>
      </c>
      <c r="H645" s="175">
        <f>SUM(H646:H646)</f>
        <v>3721</v>
      </c>
      <c r="I645" s="187">
        <f>G645-H645</f>
        <v>-326</v>
      </c>
      <c r="J645" s="24">
        <v>33300</v>
      </c>
      <c r="K645" s="138" t="s">
        <v>116</v>
      </c>
      <c r="L645" s="24"/>
      <c r="M645" s="323">
        <f>Tracking_SI[[#This Row],[Chênh lệch 
(thừa so với ĐH)]]/Tracking_SI[[#This Row],[Số  lượng trên ĐH]]</f>
        <v>-9.6023564064801184E-2</v>
      </c>
    </row>
    <row r="646" spans="1:13" ht="20.25" customHeight="1">
      <c r="A646" s="57"/>
      <c r="B646" s="57" t="s">
        <v>79</v>
      </c>
      <c r="C646" s="109"/>
      <c r="D646" s="116">
        <v>45729</v>
      </c>
      <c r="F646" s="30"/>
      <c r="G646" s="31"/>
      <c r="H646" s="177">
        <v>3721</v>
      </c>
      <c r="I646" s="187"/>
      <c r="J646" s="32"/>
      <c r="K646" s="138" t="s">
        <v>118</v>
      </c>
      <c r="L646" s="32"/>
      <c r="M646" s="323" t="e">
        <f>Tracking_SI[[#This Row],[Chênh lệch 
(thừa so với ĐH)]]/Tracking_SI[[#This Row],[Số  lượng trên ĐH]]</f>
        <v>#DIV/0!</v>
      </c>
    </row>
    <row r="647" spans="1:13" ht="20.25" customHeight="1">
      <c r="A647" s="57" t="s">
        <v>115</v>
      </c>
      <c r="B647" s="57" t="s">
        <v>79</v>
      </c>
      <c r="C647" s="152"/>
      <c r="D647" s="300">
        <v>45673</v>
      </c>
      <c r="E647" s="301" t="s">
        <v>157</v>
      </c>
      <c r="F647" s="302" t="s">
        <v>8</v>
      </c>
      <c r="G647" s="304">
        <v>5000</v>
      </c>
      <c r="H647" s="306">
        <f>SUM(H648:H651)</f>
        <v>5000</v>
      </c>
      <c r="I647" s="224">
        <f>G647-H647</f>
        <v>0</v>
      </c>
      <c r="J647" s="37">
        <v>33300</v>
      </c>
      <c r="K647" s="313"/>
      <c r="L647"/>
      <c r="M647" s="323">
        <f>Tracking_SI[[#This Row],[Chênh lệch 
(thừa so với ĐH)]]/Tracking_SI[[#This Row],[Số  lượng trên ĐH]]</f>
        <v>0</v>
      </c>
    </row>
    <row r="648" spans="1:13" ht="20.25" customHeight="1">
      <c r="A648" s="57"/>
      <c r="B648" s="57" t="s">
        <v>79</v>
      </c>
      <c r="C648" s="109"/>
      <c r="D648" s="108">
        <v>45726</v>
      </c>
      <c r="E648" s="27" t="s">
        <v>157</v>
      </c>
      <c r="F648" s="27"/>
      <c r="G648" s="26"/>
      <c r="H648" s="164">
        <v>829</v>
      </c>
      <c r="I648" s="187"/>
      <c r="J648" s="32"/>
      <c r="K648" s="133"/>
      <c r="L648" s="32"/>
      <c r="M648" s="323" t="e">
        <f>Tracking_SI[[#This Row],[Chênh lệch 
(thừa so với ĐH)]]/Tracking_SI[[#This Row],[Số  lượng trên ĐH]]</f>
        <v>#DIV/0!</v>
      </c>
    </row>
    <row r="649" spans="1:13" ht="20.25" customHeight="1">
      <c r="A649" s="57"/>
      <c r="B649" s="57" t="s">
        <v>79</v>
      </c>
      <c r="C649" s="109"/>
      <c r="D649" s="108">
        <v>45793</v>
      </c>
      <c r="E649" s="27" t="s">
        <v>157</v>
      </c>
      <c r="F649" s="27"/>
      <c r="G649" s="26"/>
      <c r="H649" s="164">
        <v>1037</v>
      </c>
      <c r="I649" s="187"/>
      <c r="J649" s="32"/>
      <c r="K649" s="133"/>
      <c r="L649" s="32"/>
      <c r="M649" s="323" t="e">
        <f>Tracking_SI[[#This Row],[Chênh lệch 
(thừa so với ĐH)]]/Tracking_SI[[#This Row],[Số  lượng trên ĐH]]</f>
        <v>#DIV/0!</v>
      </c>
    </row>
    <row r="650" spans="1:13" ht="20.25" customHeight="1">
      <c r="A650" s="57"/>
      <c r="B650" s="57" t="s">
        <v>79</v>
      </c>
      <c r="C650" s="109"/>
      <c r="D650" s="108">
        <v>45799</v>
      </c>
      <c r="E650" s="27" t="s">
        <v>157</v>
      </c>
      <c r="F650" s="30"/>
      <c r="G650" s="31"/>
      <c r="H650" s="164">
        <v>2059</v>
      </c>
      <c r="I650" s="187"/>
      <c r="J650" s="32"/>
      <c r="K650" s="133"/>
      <c r="L650" s="32"/>
      <c r="M650" s="323" t="e">
        <f>Tracking_SI[[#This Row],[Chênh lệch 
(thừa so với ĐH)]]/Tracking_SI[[#This Row],[Số  lượng trên ĐH]]</f>
        <v>#DIV/0!</v>
      </c>
    </row>
    <row r="651" spans="1:13" ht="20.25" customHeight="1">
      <c r="A651" s="57"/>
      <c r="B651" s="57" t="s">
        <v>79</v>
      </c>
      <c r="C651" s="109"/>
      <c r="D651" s="108">
        <v>45827</v>
      </c>
      <c r="E651" s="27" t="s">
        <v>157</v>
      </c>
      <c r="F651" s="30"/>
      <c r="G651" s="31"/>
      <c r="H651" s="164">
        <v>1075</v>
      </c>
      <c r="I651" s="187"/>
      <c r="J651" s="32"/>
      <c r="K651" s="133"/>
      <c r="L651" s="32"/>
      <c r="M651" s="323" t="e">
        <f>Tracking_SI[[#This Row],[Chênh lệch 
(thừa so với ĐH)]]/Tracking_SI[[#This Row],[Số  lượng trên ĐH]]</f>
        <v>#DIV/0!</v>
      </c>
    </row>
    <row r="652" spans="1:13" ht="20.25" customHeight="1">
      <c r="A652" s="57" t="s">
        <v>115</v>
      </c>
      <c r="B652" s="57" t="s">
        <v>79</v>
      </c>
      <c r="C652" s="152"/>
      <c r="D652" s="300">
        <v>45734</v>
      </c>
      <c r="E652" s="301" t="s">
        <v>158</v>
      </c>
      <c r="F652" s="304" t="s">
        <v>8</v>
      </c>
      <c r="G652" s="306">
        <v>5000</v>
      </c>
      <c r="H652" s="224">
        <f>SUM(H653:H656)</f>
        <v>6014</v>
      </c>
      <c r="I652" s="313">
        <f>G652-H652</f>
        <v>-1014</v>
      </c>
      <c r="J652">
        <v>33300</v>
      </c>
      <c r="K652" s="224" t="s">
        <v>116</v>
      </c>
      <c r="L652" t="s">
        <v>179</v>
      </c>
      <c r="M652" s="323">
        <f>Tracking_SI[[#This Row],[Chênh lệch 
(thừa so với ĐH)]]/Tracking_SI[[#This Row],[Số  lượng trên ĐH]]</f>
        <v>-0.20280000000000001</v>
      </c>
    </row>
    <row r="653" spans="1:13" ht="20.25" customHeight="1">
      <c r="A653" s="57"/>
      <c r="B653" s="57" t="s">
        <v>79</v>
      </c>
      <c r="C653" s="109"/>
      <c r="D653" s="108">
        <v>45827</v>
      </c>
      <c r="E653" s="30" t="s">
        <v>158</v>
      </c>
      <c r="F653" s="30"/>
      <c r="G653" s="31"/>
      <c r="H653" s="164">
        <f>2090-H651</f>
        <v>1015</v>
      </c>
      <c r="I653" s="186"/>
      <c r="J653" s="32"/>
      <c r="K653" s="133"/>
      <c r="L653" s="32"/>
      <c r="M653" s="323" t="e">
        <f>Tracking_SI[[#This Row],[Chênh lệch 
(thừa so với ĐH)]]/Tracking_SI[[#This Row],[Số  lượng trên ĐH]]</f>
        <v>#DIV/0!</v>
      </c>
    </row>
    <row r="654" spans="1:13" ht="20.25" customHeight="1">
      <c r="A654" s="57"/>
      <c r="B654" s="57" t="s">
        <v>79</v>
      </c>
      <c r="C654" s="109"/>
      <c r="D654" s="108">
        <v>45852</v>
      </c>
      <c r="E654" s="27" t="s">
        <v>158</v>
      </c>
      <c r="F654" s="30"/>
      <c r="G654" s="31"/>
      <c r="H654" s="164">
        <v>1879</v>
      </c>
      <c r="I654" s="187"/>
      <c r="J654" s="32"/>
      <c r="K654" s="133"/>
      <c r="L654" s="32"/>
      <c r="M654" s="323" t="e">
        <f>Tracking_SI[[#This Row],[Chênh lệch 
(thừa so với ĐH)]]/Tracking_SI[[#This Row],[Số  lượng trên ĐH]]</f>
        <v>#DIV/0!</v>
      </c>
    </row>
    <row r="655" spans="1:13" ht="20.25" customHeight="1">
      <c r="A655" s="57"/>
      <c r="B655" s="57" t="s">
        <v>79</v>
      </c>
      <c r="C655" s="109"/>
      <c r="D655" s="108">
        <v>45915</v>
      </c>
      <c r="E655" s="30" t="s">
        <v>158</v>
      </c>
      <c r="F655" s="30"/>
      <c r="G655" s="31"/>
      <c r="H655" s="164">
        <v>3120</v>
      </c>
      <c r="I655" s="187"/>
      <c r="J655" s="32"/>
      <c r="K655" s="133"/>
      <c r="L655" s="32"/>
      <c r="M655" s="323" t="e">
        <f>Tracking_SI[[#This Row],[Chênh lệch 
(thừa so với ĐH)]]/Tracking_SI[[#This Row],[Số  lượng trên ĐH]]</f>
        <v>#DIV/0!</v>
      </c>
    </row>
    <row r="656" spans="1:13" ht="20.25" customHeight="1">
      <c r="A656" s="57"/>
      <c r="B656" s="57" t="s">
        <v>79</v>
      </c>
      <c r="C656" s="109"/>
      <c r="D656" s="108"/>
      <c r="E656" s="30" t="s">
        <v>158</v>
      </c>
      <c r="F656" s="30"/>
      <c r="G656" s="31"/>
      <c r="H656" s="164"/>
      <c r="I656" s="187"/>
      <c r="J656" s="32"/>
      <c r="K656" s="133"/>
      <c r="L656" s="32"/>
      <c r="M656" s="323" t="e">
        <f>Tracking_SI[[#This Row],[Chênh lệch 
(thừa so với ĐH)]]/Tracking_SI[[#This Row],[Số  lượng trên ĐH]]</f>
        <v>#DIV/0!</v>
      </c>
    </row>
    <row r="657" spans="1:13" ht="20.25" customHeight="1">
      <c r="A657" s="58" t="s">
        <v>106</v>
      </c>
      <c r="B657" s="81"/>
      <c r="C657" s="88" t="s">
        <v>81</v>
      </c>
      <c r="D657" s="119"/>
      <c r="E657" s="83"/>
      <c r="F657" s="83"/>
      <c r="G657" s="84"/>
      <c r="H657" s="84"/>
      <c r="I657" s="206"/>
      <c r="J657" s="85"/>
      <c r="K657" s="141"/>
      <c r="L657" s="85"/>
      <c r="M657" s="323" t="e">
        <f>Tracking_SI[[#This Row],[Chênh lệch 
(thừa so với ĐH)]]/Tracking_SI[[#This Row],[Số  lượng trên ĐH]]</f>
        <v>#DIV/0!</v>
      </c>
    </row>
    <row r="658" spans="1:13" ht="20.25" customHeight="1">
      <c r="A658" s="58" t="s">
        <v>115</v>
      </c>
      <c r="B658" s="112"/>
      <c r="C658" s="46"/>
      <c r="D658" s="111">
        <v>45622</v>
      </c>
      <c r="E658" s="25" t="s">
        <v>58</v>
      </c>
      <c r="F658" s="25" t="s">
        <v>8</v>
      </c>
      <c r="G658" s="24">
        <v>3000</v>
      </c>
      <c r="H658" s="163">
        <f>SUM(H659:H661)</f>
        <v>1483</v>
      </c>
      <c r="I658" s="192">
        <f>G658-H658</f>
        <v>1517</v>
      </c>
      <c r="J658" s="24">
        <v>32500</v>
      </c>
      <c r="K658" s="127" t="s">
        <v>215</v>
      </c>
      <c r="L658" s="24"/>
      <c r="M658" s="323">
        <f>Tracking_SI[[#This Row],[Chênh lệch 
(thừa so với ĐH)]]/Tracking_SI[[#This Row],[Số  lượng trên ĐH]]</f>
        <v>0.50566666666666671</v>
      </c>
    </row>
    <row r="659" spans="1:13" ht="20.25" customHeight="1">
      <c r="A659" s="57"/>
      <c r="B659" s="112"/>
      <c r="C659" s="46"/>
      <c r="D659" s="108">
        <v>45757</v>
      </c>
      <c r="E659" s="30">
        <v>520</v>
      </c>
      <c r="F659" s="30"/>
      <c r="G659" s="31"/>
      <c r="H659" s="166">
        <v>492</v>
      </c>
      <c r="I659" s="187"/>
      <c r="J659" s="32"/>
      <c r="K659" s="133"/>
      <c r="L659" s="32"/>
      <c r="M659" s="323" t="e">
        <f>Tracking_SI[[#This Row],[Chênh lệch 
(thừa so với ĐH)]]/Tracking_SI[[#This Row],[Số  lượng trên ĐH]]</f>
        <v>#DIV/0!</v>
      </c>
    </row>
    <row r="660" spans="1:13">
      <c r="A660" s="57"/>
      <c r="B660" s="112"/>
      <c r="C660" s="46"/>
      <c r="D660" s="108">
        <v>45793</v>
      </c>
      <c r="E660" s="30">
        <v>737</v>
      </c>
      <c r="F660" s="30"/>
      <c r="G660" s="31"/>
      <c r="H660" s="166">
        <v>991</v>
      </c>
      <c r="I660" s="187"/>
      <c r="J660" s="32"/>
      <c r="K660" s="133"/>
      <c r="L660" s="32"/>
      <c r="M660" s="323" t="e">
        <f>Tracking_SI[[#This Row],[Chênh lệch 
(thừa so với ĐH)]]/Tracking_SI[[#This Row],[Số  lượng trên ĐH]]</f>
        <v>#DIV/0!</v>
      </c>
    </row>
    <row r="661" spans="1:13" ht="20.25" customHeight="1">
      <c r="A661" s="57"/>
      <c r="B661" s="112"/>
      <c r="C661" s="46"/>
      <c r="D661" s="108"/>
      <c r="F661" s="30"/>
      <c r="G661" s="31"/>
      <c r="H661" s="166"/>
      <c r="I661" s="187"/>
      <c r="J661" s="32"/>
      <c r="K661" s="133"/>
      <c r="L661" s="32"/>
      <c r="M661" s="323" t="e">
        <f>Tracking_SI[[#This Row],[Chênh lệch 
(thừa so với ĐH)]]/Tracking_SI[[#This Row],[Số  lượng trên ĐH]]</f>
        <v>#DIV/0!</v>
      </c>
    </row>
    <row r="662" spans="1:13" ht="18.75" customHeight="1">
      <c r="A662" s="58" t="s">
        <v>106</v>
      </c>
      <c r="B662" s="81"/>
      <c r="C662" s="88" t="s">
        <v>82</v>
      </c>
      <c r="D662" s="119"/>
      <c r="E662" s="83"/>
      <c r="F662" s="83"/>
      <c r="G662" s="84"/>
      <c r="H662" s="84"/>
      <c r="I662" s="208"/>
      <c r="J662" s="85"/>
      <c r="K662" s="141"/>
      <c r="L662" s="85"/>
      <c r="M662" s="323" t="e">
        <f>Tracking_SI[[#This Row],[Chênh lệch 
(thừa so với ĐH)]]/Tracking_SI[[#This Row],[Số  lượng trên ĐH]]</f>
        <v>#DIV/0!</v>
      </c>
    </row>
    <row r="663" spans="1:13" ht="19.5" customHeight="1">
      <c r="A663" s="58" t="s">
        <v>115</v>
      </c>
      <c r="B663" s="112"/>
      <c r="C663" s="46"/>
      <c r="D663" s="111">
        <v>45622</v>
      </c>
      <c r="E663" s="24" t="s">
        <v>58</v>
      </c>
      <c r="F663" s="25" t="s">
        <v>8</v>
      </c>
      <c r="G663" s="24">
        <v>5000</v>
      </c>
      <c r="H663" s="163">
        <f>SUM(H664:H667)</f>
        <v>3421</v>
      </c>
      <c r="I663" s="192">
        <f>G663-H663</f>
        <v>1579</v>
      </c>
      <c r="J663" s="24">
        <v>32500</v>
      </c>
      <c r="K663" s="127" t="s">
        <v>215</v>
      </c>
      <c r="L663" s="24"/>
      <c r="M663" s="323">
        <f>Tracking_SI[[#This Row],[Chênh lệch 
(thừa so với ĐH)]]/Tracking_SI[[#This Row],[Số  lượng trên ĐH]]</f>
        <v>0.31580000000000003</v>
      </c>
    </row>
    <row r="664" spans="1:13" ht="19.5" customHeight="1">
      <c r="A664" s="57"/>
      <c r="B664" s="112"/>
      <c r="C664" s="46"/>
      <c r="D664" s="108">
        <v>45712</v>
      </c>
      <c r="E664" s="30">
        <v>224</v>
      </c>
      <c r="F664" s="30"/>
      <c r="G664" s="31"/>
      <c r="H664" s="166">
        <v>639</v>
      </c>
      <c r="I664" s="187"/>
      <c r="J664" s="32"/>
      <c r="K664" s="133"/>
      <c r="L664" s="32"/>
      <c r="M664" s="323" t="e">
        <f>Tracking_SI[[#This Row],[Chênh lệch 
(thừa so với ĐH)]]/Tracking_SI[[#This Row],[Số  lượng trên ĐH]]</f>
        <v>#DIV/0!</v>
      </c>
    </row>
    <row r="665" spans="1:13" ht="19.5" customHeight="1">
      <c r="A665" s="57"/>
      <c r="B665" s="112"/>
      <c r="C665" s="46"/>
      <c r="D665" s="108">
        <v>45729</v>
      </c>
      <c r="E665" s="30">
        <v>333</v>
      </c>
      <c r="F665" s="30"/>
      <c r="G665" s="31"/>
      <c r="H665" s="166">
        <v>2140</v>
      </c>
      <c r="I665" s="187"/>
      <c r="J665" s="32"/>
      <c r="K665" s="133"/>
      <c r="L665" s="32"/>
      <c r="M665" s="323" t="e">
        <f>Tracking_SI[[#This Row],[Chênh lệch 
(thừa so với ĐH)]]/Tracking_SI[[#This Row],[Số  lượng trên ĐH]]</f>
        <v>#DIV/0!</v>
      </c>
    </row>
    <row r="666" spans="1:13" ht="20.25" customHeight="1">
      <c r="A666" s="57"/>
      <c r="B666" s="112"/>
      <c r="C666" s="46"/>
      <c r="D666" s="108">
        <v>45752</v>
      </c>
      <c r="E666" s="30">
        <v>493</v>
      </c>
      <c r="F666" s="30"/>
      <c r="G666" s="31"/>
      <c r="H666" s="166">
        <v>642</v>
      </c>
      <c r="I666" s="187"/>
      <c r="J666" s="32"/>
      <c r="K666" s="133"/>
      <c r="L666" s="32"/>
      <c r="M666" s="323" t="e">
        <f>Tracking_SI[[#This Row],[Chênh lệch 
(thừa so với ĐH)]]/Tracking_SI[[#This Row],[Số  lượng trên ĐH]]</f>
        <v>#DIV/0!</v>
      </c>
    </row>
    <row r="667" spans="1:13" ht="20.25" customHeight="1">
      <c r="A667" s="57"/>
      <c r="B667" s="112"/>
      <c r="C667" s="46"/>
      <c r="D667" s="108"/>
      <c r="F667" s="30"/>
      <c r="G667" s="31"/>
      <c r="H667" s="166"/>
      <c r="I667" s="187"/>
      <c r="J667" s="32"/>
      <c r="K667" s="133"/>
      <c r="L667" s="32"/>
      <c r="M667" s="323" t="e">
        <f>Tracking_SI[[#This Row],[Chênh lệch 
(thừa so với ĐH)]]/Tracking_SI[[#This Row],[Số  lượng trên ĐH]]</f>
        <v>#DIV/0!</v>
      </c>
    </row>
    <row r="668" spans="1:13" ht="20.25" customHeight="1">
      <c r="A668" s="57" t="s">
        <v>115</v>
      </c>
      <c r="B668" s="112"/>
      <c r="C668" s="46"/>
      <c r="D668" s="154">
        <v>45747</v>
      </c>
      <c r="E668" s="155" t="s">
        <v>18</v>
      </c>
      <c r="F668" s="25" t="s">
        <v>8</v>
      </c>
      <c r="G668" s="156">
        <v>5000</v>
      </c>
      <c r="H668" s="168">
        <f>SUM(H669:H670)</f>
        <v>0</v>
      </c>
      <c r="I668" s="202">
        <f>G668-H668</f>
        <v>5000</v>
      </c>
      <c r="J668" s="156">
        <v>33300</v>
      </c>
      <c r="K668" s="130"/>
      <c r="L668" s="24"/>
      <c r="M668" s="323">
        <f>Tracking_SI[[#This Row],[Chênh lệch 
(thừa so với ĐH)]]/Tracking_SI[[#This Row],[Số  lượng trên ĐH]]</f>
        <v>1</v>
      </c>
    </row>
    <row r="669" spans="1:13" ht="20.25" customHeight="1">
      <c r="A669" s="57"/>
      <c r="B669" s="112"/>
      <c r="C669" s="46"/>
      <c r="D669" s="108"/>
      <c r="F669" s="30"/>
      <c r="G669" s="31"/>
      <c r="H669" s="166"/>
      <c r="I669" s="187"/>
      <c r="J669" s="32"/>
      <c r="K669" s="133"/>
      <c r="L669" s="32"/>
      <c r="M669" s="323" t="e">
        <f>Tracking_SI[[#This Row],[Chênh lệch 
(thừa so với ĐH)]]/Tracking_SI[[#This Row],[Số  lượng trên ĐH]]</f>
        <v>#DIV/0!</v>
      </c>
    </row>
    <row r="670" spans="1:13" ht="20.25" customHeight="1">
      <c r="A670" s="57"/>
      <c r="B670" s="112"/>
      <c r="C670" s="46"/>
      <c r="D670" s="108"/>
      <c r="F670" s="30"/>
      <c r="G670" s="31"/>
      <c r="H670" s="166"/>
      <c r="I670" s="187"/>
      <c r="J670" s="32"/>
      <c r="K670" s="133"/>
      <c r="L670" s="32"/>
      <c r="M670" s="323" t="e">
        <f>Tracking_SI[[#This Row],[Chênh lệch 
(thừa so với ĐH)]]/Tracking_SI[[#This Row],[Số  lượng trên ĐH]]</f>
        <v>#DIV/0!</v>
      </c>
    </row>
    <row r="671" spans="1:13" ht="20.25" customHeight="1">
      <c r="A671" s="58" t="s">
        <v>106</v>
      </c>
      <c r="B671" s="81" t="s">
        <v>195</v>
      </c>
      <c r="C671" s="88" t="s">
        <v>194</v>
      </c>
      <c r="D671" s="119"/>
      <c r="E671" s="83"/>
      <c r="F671" s="83"/>
      <c r="G671" s="84"/>
      <c r="H671" s="84"/>
      <c r="I671" s="207"/>
      <c r="J671" s="85"/>
      <c r="K671" s="141"/>
      <c r="L671" s="85"/>
      <c r="M671" s="323" t="e">
        <f>Tracking_SI[[#This Row],[Chênh lệch 
(thừa so với ĐH)]]/Tracking_SI[[#This Row],[Số  lượng trên ĐH]]</f>
        <v>#DIV/0!</v>
      </c>
    </row>
    <row r="672" spans="1:13" ht="20.25" customHeight="1">
      <c r="A672" s="58" t="s">
        <v>115</v>
      </c>
      <c r="B672" s="57" t="s">
        <v>195</v>
      </c>
      <c r="C672" s="46"/>
      <c r="D672" s="111">
        <v>45382</v>
      </c>
      <c r="E672" s="25" t="s">
        <v>83</v>
      </c>
      <c r="F672" s="25" t="s">
        <v>8</v>
      </c>
      <c r="G672" s="24">
        <v>3721</v>
      </c>
      <c r="H672" s="163">
        <f>SUM(H673:H674)</f>
        <v>3721</v>
      </c>
      <c r="I672" s="187">
        <f>G672-H672</f>
        <v>0</v>
      </c>
      <c r="J672" s="24">
        <v>31600</v>
      </c>
      <c r="K672" s="127" t="s">
        <v>215</v>
      </c>
      <c r="L672" s="24"/>
      <c r="M672" s="323">
        <f>Tracking_SI[[#This Row],[Chênh lệch 
(thừa so với ĐH)]]/Tracking_SI[[#This Row],[Số  lượng trên ĐH]]</f>
        <v>0</v>
      </c>
    </row>
    <row r="673" spans="1:13" ht="20.25" customHeight="1">
      <c r="A673" s="57"/>
      <c r="B673" s="57" t="s">
        <v>195</v>
      </c>
      <c r="C673" s="46"/>
      <c r="D673" s="108">
        <v>45675</v>
      </c>
      <c r="E673" s="30" t="s">
        <v>83</v>
      </c>
      <c r="F673" s="30"/>
      <c r="G673" s="31"/>
      <c r="H673" s="166">
        <v>1927</v>
      </c>
      <c r="I673" s="187"/>
      <c r="J673" s="32"/>
      <c r="K673" s="133"/>
      <c r="L673" s="32"/>
      <c r="M673" s="323" t="e">
        <f>Tracking_SI[[#This Row],[Chênh lệch 
(thừa so với ĐH)]]/Tracking_SI[[#This Row],[Số  lượng trên ĐH]]</f>
        <v>#DIV/0!</v>
      </c>
    </row>
    <row r="674" spans="1:13" ht="20.25" customHeight="1">
      <c r="A674" s="57"/>
      <c r="B674" s="57" t="s">
        <v>195</v>
      </c>
      <c r="C674" s="46"/>
      <c r="D674" s="108">
        <v>46028</v>
      </c>
      <c r="E674" s="30" t="s">
        <v>83</v>
      </c>
      <c r="F674" s="30"/>
      <c r="G674" s="30"/>
      <c r="H674" s="166">
        <v>1794</v>
      </c>
      <c r="I674" s="187"/>
      <c r="J674" s="32"/>
      <c r="K674" s="133"/>
      <c r="L674" s="32"/>
      <c r="M674" s="323" t="e">
        <f>Tracking_SI[[#This Row],[Chênh lệch 
(thừa so với ĐH)]]/Tracking_SI[[#This Row],[Số  lượng trên ĐH]]</f>
        <v>#DIV/0!</v>
      </c>
    </row>
    <row r="675" spans="1:13" ht="20.25" customHeight="1">
      <c r="A675" s="57" t="s">
        <v>115</v>
      </c>
      <c r="B675" s="57" t="s">
        <v>195</v>
      </c>
      <c r="C675" s="46"/>
      <c r="D675" s="154">
        <v>45400</v>
      </c>
      <c r="E675" s="155" t="s">
        <v>84</v>
      </c>
      <c r="F675" s="155" t="s">
        <v>8</v>
      </c>
      <c r="G675" s="156">
        <v>5000</v>
      </c>
      <c r="H675" s="168">
        <f>SUM(H676:H677)</f>
        <v>4609</v>
      </c>
      <c r="I675" s="187">
        <f>G675-H675</f>
        <v>391</v>
      </c>
      <c r="J675" s="156">
        <v>31600</v>
      </c>
      <c r="K675" s="182"/>
      <c r="L675" s="24"/>
      <c r="M675" s="323">
        <f>Tracking_SI[[#This Row],[Chênh lệch 
(thừa so với ĐH)]]/Tracking_SI[[#This Row],[Số  lượng trên ĐH]]</f>
        <v>7.8200000000000006E-2</v>
      </c>
    </row>
    <row r="676" spans="1:13" ht="20.25" customHeight="1">
      <c r="A676" s="57"/>
      <c r="B676" s="57" t="s">
        <v>195</v>
      </c>
      <c r="C676" s="46"/>
      <c r="D676" s="108">
        <v>46028</v>
      </c>
      <c r="E676" s="30" t="s">
        <v>196</v>
      </c>
      <c r="F676" s="30"/>
      <c r="G676" s="31"/>
      <c r="H676" s="166">
        <v>4609</v>
      </c>
      <c r="I676" s="189"/>
      <c r="J676" s="32"/>
      <c r="K676" s="133"/>
      <c r="L676" s="32"/>
      <c r="M676" s="323" t="e">
        <f>Tracking_SI[[#This Row],[Chênh lệch 
(thừa so với ĐH)]]/Tracking_SI[[#This Row],[Số  lượng trên ĐH]]</f>
        <v>#DIV/0!</v>
      </c>
    </row>
    <row r="677" spans="1:13" ht="20.25" customHeight="1">
      <c r="A677" s="57"/>
      <c r="B677" s="57" t="s">
        <v>195</v>
      </c>
      <c r="C677" s="46"/>
      <c r="D677" s="108"/>
      <c r="E677" s="30" t="s">
        <v>84</v>
      </c>
      <c r="F677" s="30"/>
      <c r="G677" s="31"/>
      <c r="H677" s="166"/>
      <c r="I677" s="187">
        <f>G677-H677</f>
        <v>0</v>
      </c>
      <c r="J677" s="32"/>
      <c r="K677" s="133"/>
      <c r="L677" s="32"/>
      <c r="M677" s="323" t="e">
        <f>Tracking_SI[[#This Row],[Chênh lệch 
(thừa so với ĐH)]]/Tracking_SI[[#This Row],[Số  lượng trên ĐH]]</f>
        <v>#DIV/0!</v>
      </c>
    </row>
    <row r="678" spans="1:13" ht="20.25" customHeight="1">
      <c r="A678" s="58" t="s">
        <v>115</v>
      </c>
      <c r="B678" s="57" t="s">
        <v>195</v>
      </c>
      <c r="C678" s="46"/>
      <c r="D678" s="113">
        <v>45404</v>
      </c>
      <c r="E678" s="28" t="s">
        <v>85</v>
      </c>
      <c r="F678" s="155" t="s">
        <v>8</v>
      </c>
      <c r="G678" s="29">
        <v>10000</v>
      </c>
      <c r="H678" s="165"/>
      <c r="I678" s="187">
        <f>G678-H678</f>
        <v>10000</v>
      </c>
      <c r="J678" s="156">
        <v>31600</v>
      </c>
      <c r="K678" s="127" t="s">
        <v>215</v>
      </c>
      <c r="L678" s="24"/>
      <c r="M678" s="323">
        <f>Tracking_SI[[#This Row],[Chênh lệch 
(thừa so với ĐH)]]/Tracking_SI[[#This Row],[Số  lượng trên ĐH]]</f>
        <v>1</v>
      </c>
    </row>
    <row r="679" spans="1:13" ht="20.25" customHeight="1">
      <c r="A679" s="57"/>
      <c r="B679" s="57" t="s">
        <v>195</v>
      </c>
      <c r="C679" s="46"/>
      <c r="D679" s="108"/>
      <c r="E679" s="30" t="s">
        <v>85</v>
      </c>
      <c r="F679" s="30"/>
      <c r="G679" s="31"/>
      <c r="H679" s="166"/>
      <c r="I679" s="189">
        <f>G679-H679</f>
        <v>0</v>
      </c>
      <c r="J679" s="32"/>
      <c r="K679" s="133"/>
      <c r="L679" s="32"/>
      <c r="M679" s="323" t="e">
        <f>Tracking_SI[[#This Row],[Chênh lệch 
(thừa so với ĐH)]]/Tracking_SI[[#This Row],[Số  lượng trên ĐH]]</f>
        <v>#DIV/0!</v>
      </c>
    </row>
    <row r="680" spans="1:13" ht="20.25" customHeight="1">
      <c r="A680" s="57"/>
      <c r="B680" s="57" t="s">
        <v>195</v>
      </c>
      <c r="C680" s="46"/>
      <c r="D680" s="108"/>
      <c r="E680" s="30" t="s">
        <v>85</v>
      </c>
      <c r="F680" s="30"/>
      <c r="G680" s="31"/>
      <c r="H680" s="166"/>
      <c r="I680" s="186"/>
      <c r="J680" s="32"/>
      <c r="K680" s="133"/>
      <c r="L680" s="32"/>
      <c r="M680" s="323" t="e">
        <f>Tracking_SI[[#This Row],[Chênh lệch 
(thừa so với ĐH)]]/Tracking_SI[[#This Row],[Số  lượng trên ĐH]]</f>
        <v>#DIV/0!</v>
      </c>
    </row>
    <row r="681" spans="1:13" ht="20.25" customHeight="1">
      <c r="A681" s="58" t="s">
        <v>106</v>
      </c>
      <c r="B681" s="81" t="s">
        <v>172</v>
      </c>
      <c r="C681" s="88" t="s">
        <v>175</v>
      </c>
      <c r="D681" s="119"/>
      <c r="E681" s="83"/>
      <c r="F681" s="83"/>
      <c r="G681" s="84"/>
      <c r="H681" s="84"/>
      <c r="I681" s="206"/>
      <c r="J681" s="85"/>
      <c r="K681" s="141"/>
      <c r="L681" s="85"/>
      <c r="M681" s="323" t="e">
        <f>Tracking_SI[[#This Row],[Chênh lệch 
(thừa so với ĐH)]]/Tracking_SI[[#This Row],[Số  lượng trên ĐH]]</f>
        <v>#DIV/0!</v>
      </c>
    </row>
    <row r="682" spans="1:13" ht="20.25" customHeight="1">
      <c r="A682" s="58" t="s">
        <v>115</v>
      </c>
      <c r="B682" s="57" t="s">
        <v>198</v>
      </c>
      <c r="C682" s="46"/>
      <c r="D682" s="183">
        <v>45569</v>
      </c>
      <c r="E682" s="194" t="s">
        <v>86</v>
      </c>
      <c r="F682" s="28" t="s">
        <v>8</v>
      </c>
      <c r="G682" s="149">
        <v>5000</v>
      </c>
      <c r="H682" s="179">
        <f>SUM(H683:H684)</f>
        <v>5000</v>
      </c>
      <c r="I682" s="187">
        <f>G682-H682</f>
        <v>0</v>
      </c>
      <c r="J682" s="149">
        <v>31200</v>
      </c>
      <c r="K682" s="195" t="s">
        <v>116</v>
      </c>
      <c r="L682" s="24"/>
      <c r="M682" s="323">
        <f>Tracking_SI[[#This Row],[Chênh lệch 
(thừa so với ĐH)]]/Tracking_SI[[#This Row],[Số  lượng trên ĐH]]</f>
        <v>0</v>
      </c>
    </row>
    <row r="683" spans="1:13" ht="20.25" customHeight="1">
      <c r="A683" s="57"/>
      <c r="B683" s="57" t="s">
        <v>172</v>
      </c>
      <c r="C683" s="46"/>
      <c r="D683" s="108">
        <v>45705</v>
      </c>
      <c r="E683" s="30">
        <v>187</v>
      </c>
      <c r="F683" s="30"/>
      <c r="G683" s="31"/>
      <c r="H683" s="177">
        <v>4172</v>
      </c>
      <c r="I683" s="187"/>
      <c r="J683" s="32"/>
      <c r="K683" s="138" t="s">
        <v>118</v>
      </c>
      <c r="L683" s="32"/>
      <c r="M683" s="323" t="e">
        <f>Tracking_SI[[#This Row],[Chênh lệch 
(thừa so với ĐH)]]/Tracking_SI[[#This Row],[Số  lượng trên ĐH]]</f>
        <v>#DIV/0!</v>
      </c>
    </row>
    <row r="684" spans="1:13" ht="20.25" customHeight="1">
      <c r="A684" s="57"/>
      <c r="B684" s="57" t="s">
        <v>172</v>
      </c>
      <c r="C684" s="46"/>
      <c r="D684" s="108">
        <v>45735</v>
      </c>
      <c r="E684" s="30">
        <v>364</v>
      </c>
      <c r="F684" s="30"/>
      <c r="G684" s="31"/>
      <c r="H684" s="177">
        <v>828</v>
      </c>
      <c r="I684" s="189"/>
      <c r="J684" s="32"/>
      <c r="K684" s="138" t="s">
        <v>118</v>
      </c>
      <c r="L684" s="32"/>
      <c r="M684" s="323" t="e">
        <f>Tracking_SI[[#This Row],[Chênh lệch 
(thừa so với ĐH)]]/Tracking_SI[[#This Row],[Số  lượng trên ĐH]]</f>
        <v>#DIV/0!</v>
      </c>
    </row>
    <row r="685" spans="1:13" ht="20.25" customHeight="1">
      <c r="A685" s="58" t="s">
        <v>115</v>
      </c>
      <c r="B685" s="57" t="s">
        <v>172</v>
      </c>
      <c r="C685" s="46"/>
      <c r="D685" s="300">
        <v>45706</v>
      </c>
      <c r="E685" s="301" t="s">
        <v>60</v>
      </c>
      <c r="F685" s="25" t="s">
        <v>8</v>
      </c>
      <c r="G685" s="302">
        <v>5000</v>
      </c>
      <c r="H685" s="315">
        <f>SUM(H686:H687)</f>
        <v>1292</v>
      </c>
      <c r="I685" s="304">
        <f>G685-H685</f>
        <v>3708</v>
      </c>
      <c r="J685" s="302">
        <v>32000</v>
      </c>
      <c r="K685" s="317"/>
      <c r="L685" s="24"/>
      <c r="M685" s="323">
        <f>Tracking_SI[[#This Row],[Chênh lệch 
(thừa so với ĐH)]]/Tracking_SI[[#This Row],[Số  lượng trên ĐH]]</f>
        <v>0.74160000000000004</v>
      </c>
    </row>
    <row r="686" spans="1:13" ht="20.25" customHeight="1">
      <c r="A686" s="57"/>
      <c r="B686" s="57" t="s">
        <v>172</v>
      </c>
      <c r="C686" s="46"/>
      <c r="D686" s="108">
        <v>45735</v>
      </c>
      <c r="E686" s="30" t="s">
        <v>60</v>
      </c>
      <c r="F686" s="30"/>
      <c r="G686" s="31"/>
      <c r="H686" s="166">
        <f>1481-H684</f>
        <v>653</v>
      </c>
      <c r="I686" s="187"/>
      <c r="J686" s="32"/>
      <c r="K686" s="133"/>
      <c r="L686" s="32"/>
      <c r="M686" s="323" t="e">
        <f>Tracking_SI[[#This Row],[Chênh lệch 
(thừa so với ĐH)]]/Tracking_SI[[#This Row],[Số  lượng trên ĐH]]</f>
        <v>#DIV/0!</v>
      </c>
    </row>
    <row r="687" spans="1:13" ht="20.25" customHeight="1">
      <c r="A687" s="57"/>
      <c r="B687" s="57" t="s">
        <v>172</v>
      </c>
      <c r="C687" s="46"/>
      <c r="D687" s="108">
        <v>45884</v>
      </c>
      <c r="E687" s="30" t="s">
        <v>60</v>
      </c>
      <c r="F687" s="30"/>
      <c r="G687" s="31"/>
      <c r="H687" s="166">
        <v>639</v>
      </c>
      <c r="I687" s="187"/>
      <c r="J687" s="32"/>
      <c r="K687" s="133"/>
      <c r="L687" s="32"/>
      <c r="M687" s="323" t="e">
        <f>Tracking_SI[[#This Row],[Chênh lệch 
(thừa so với ĐH)]]/Tracking_SI[[#This Row],[Số  lượng trên ĐH]]</f>
        <v>#DIV/0!</v>
      </c>
    </row>
    <row r="688" spans="1:13" ht="20.25" customHeight="1">
      <c r="A688" s="57"/>
      <c r="B688" s="57" t="s">
        <v>172</v>
      </c>
      <c r="C688" s="46"/>
      <c r="D688" s="108"/>
      <c r="E688" s="30" t="s">
        <v>173</v>
      </c>
      <c r="F688" s="30"/>
      <c r="G688" s="31"/>
      <c r="H688" s="166"/>
      <c r="I688" s="187"/>
      <c r="J688" s="32"/>
      <c r="K688" s="133"/>
      <c r="L688" s="32"/>
      <c r="M688" s="323" t="e">
        <f>Tracking_SI[[#This Row],[Chênh lệch 
(thừa so với ĐH)]]/Tracking_SI[[#This Row],[Số  lượng trên ĐH]]</f>
        <v>#DIV/0!</v>
      </c>
    </row>
    <row r="689" spans="1:13" ht="20.25" customHeight="1">
      <c r="A689" s="58" t="s">
        <v>106</v>
      </c>
      <c r="B689" s="81"/>
      <c r="C689" s="88" t="s">
        <v>138</v>
      </c>
      <c r="D689" s="120"/>
      <c r="E689" s="83"/>
      <c r="F689" s="83"/>
      <c r="G689" s="84"/>
      <c r="H689" s="84"/>
      <c r="I689" s="208"/>
      <c r="J689" s="85"/>
      <c r="K689" s="141"/>
      <c r="L689" s="85"/>
      <c r="M689" s="323" t="e">
        <f>Tracking_SI[[#This Row],[Chênh lệch 
(thừa so với ĐH)]]/Tracking_SI[[#This Row],[Số  lượng trên ĐH]]</f>
        <v>#DIV/0!</v>
      </c>
    </row>
    <row r="690" spans="1:13" ht="20.25" customHeight="1">
      <c r="A690" s="58" t="s">
        <v>115</v>
      </c>
      <c r="B690" s="57"/>
      <c r="C690" s="46"/>
      <c r="D690" s="111">
        <v>45382</v>
      </c>
      <c r="E690" s="25" t="s">
        <v>83</v>
      </c>
      <c r="F690" s="25" t="s">
        <v>8</v>
      </c>
      <c r="G690" s="24">
        <v>5000</v>
      </c>
      <c r="H690" s="163">
        <f>SUM(H691:H692)</f>
        <v>913</v>
      </c>
      <c r="I690" s="186">
        <f>G690-H690</f>
        <v>4087</v>
      </c>
      <c r="J690" s="24">
        <v>31800</v>
      </c>
      <c r="K690" s="127" t="s">
        <v>215</v>
      </c>
      <c r="L690" s="24"/>
      <c r="M690" s="323">
        <f>Tracking_SI[[#This Row],[Chênh lệch 
(thừa so với ĐH)]]/Tracking_SI[[#This Row],[Số  lượng trên ĐH]]</f>
        <v>0.81740000000000002</v>
      </c>
    </row>
    <row r="691" spans="1:13" ht="20.25" customHeight="1">
      <c r="A691" s="57"/>
      <c r="B691" s="57"/>
      <c r="C691" s="46"/>
      <c r="D691" s="108">
        <v>45748</v>
      </c>
      <c r="E691" s="30">
        <v>472</v>
      </c>
      <c r="F691" s="30"/>
      <c r="G691" s="31"/>
      <c r="H691" s="166">
        <v>913</v>
      </c>
      <c r="I691" s="187"/>
      <c r="J691" s="32"/>
      <c r="K691" s="133"/>
      <c r="L691" s="32"/>
      <c r="M691" s="323" t="e">
        <f>Tracking_SI[[#This Row],[Chênh lệch 
(thừa so với ĐH)]]/Tracking_SI[[#This Row],[Số  lượng trên ĐH]]</f>
        <v>#DIV/0!</v>
      </c>
    </row>
    <row r="692" spans="1:13" ht="20.25" customHeight="1">
      <c r="A692" s="57"/>
      <c r="B692" s="57"/>
      <c r="C692" s="46"/>
      <c r="D692" s="108"/>
      <c r="F692" s="30"/>
      <c r="G692" s="31"/>
      <c r="H692" s="166"/>
      <c r="I692" s="187"/>
      <c r="J692" s="32"/>
      <c r="K692" s="133"/>
      <c r="L692" s="32"/>
      <c r="M692" s="323" t="e">
        <f>Tracking_SI[[#This Row],[Chênh lệch 
(thừa so với ĐH)]]/Tracking_SI[[#This Row],[Số  lượng trên ĐH]]</f>
        <v>#DIV/0!</v>
      </c>
    </row>
    <row r="693" spans="1:13" ht="20.25" customHeight="1">
      <c r="A693" s="57"/>
      <c r="B693" s="57"/>
      <c r="C693" s="46"/>
      <c r="D693" s="108"/>
      <c r="F693" s="30"/>
      <c r="G693" s="31"/>
      <c r="H693" s="166"/>
      <c r="I693" s="187"/>
      <c r="J693" s="32"/>
      <c r="K693" s="133"/>
      <c r="L693" s="32"/>
      <c r="M693" s="323" t="e">
        <f>Tracking_SI[[#This Row],[Chênh lệch 
(thừa so với ĐH)]]/Tracking_SI[[#This Row],[Số  lượng trên ĐH]]</f>
        <v>#DIV/0!</v>
      </c>
    </row>
    <row r="694" spans="1:13" ht="20.25" customHeight="1">
      <c r="A694" s="58" t="s">
        <v>106</v>
      </c>
      <c r="B694" s="81" t="s">
        <v>87</v>
      </c>
      <c r="C694" s="88" t="s">
        <v>113</v>
      </c>
      <c r="D694" s="119"/>
      <c r="E694" s="83"/>
      <c r="F694" s="83"/>
      <c r="G694" s="84"/>
      <c r="H694" s="84"/>
      <c r="I694" s="208"/>
      <c r="J694" s="85"/>
      <c r="K694" s="141"/>
      <c r="L694" s="85"/>
      <c r="M694" s="323" t="e">
        <f>Tracking_SI[[#This Row],[Chênh lệch 
(thừa so với ĐH)]]/Tracking_SI[[#This Row],[Số  lượng trên ĐH]]</f>
        <v>#DIV/0!</v>
      </c>
    </row>
    <row r="695" spans="1:13" ht="20.25" customHeight="1">
      <c r="A695" s="58" t="s">
        <v>115</v>
      </c>
      <c r="B695" s="57" t="s">
        <v>87</v>
      </c>
      <c r="C695" s="109"/>
      <c r="D695" s="111">
        <v>45558</v>
      </c>
      <c r="E695" s="25" t="s">
        <v>28</v>
      </c>
      <c r="F695" s="25" t="s">
        <v>8</v>
      </c>
      <c r="G695" s="24">
        <v>2604</v>
      </c>
      <c r="H695" s="176">
        <f>SUM(H696:H697)</f>
        <v>2655</v>
      </c>
      <c r="I695" s="186">
        <f>G695-H695</f>
        <v>-51</v>
      </c>
      <c r="J695" s="24">
        <v>31500</v>
      </c>
      <c r="K695" s="130" t="s">
        <v>116</v>
      </c>
      <c r="L695" s="24"/>
      <c r="M695" s="323">
        <f>Tracking_SI[[#This Row],[Chênh lệch 
(thừa so với ĐH)]]/Tracking_SI[[#This Row],[Số  lượng trên ĐH]]</f>
        <v>-1.9585253456221197E-2</v>
      </c>
    </row>
    <row r="696" spans="1:13" ht="20.25" customHeight="1">
      <c r="A696" s="57"/>
      <c r="B696" s="57" t="s">
        <v>87</v>
      </c>
      <c r="C696" s="109"/>
      <c r="D696" s="108">
        <v>45681</v>
      </c>
      <c r="E696" s="30">
        <v>120</v>
      </c>
      <c r="F696" s="30"/>
      <c r="G696" s="31"/>
      <c r="H696" s="176">
        <v>966</v>
      </c>
      <c r="I696" s="187"/>
      <c r="J696" s="32"/>
      <c r="K696" s="138" t="s">
        <v>118</v>
      </c>
      <c r="L696" s="32"/>
      <c r="M696" s="323" t="e">
        <f>Tracking_SI[[#This Row],[Chênh lệch 
(thừa so với ĐH)]]/Tracking_SI[[#This Row],[Số  lượng trên ĐH]]</f>
        <v>#DIV/0!</v>
      </c>
    </row>
    <row r="697" spans="1:13" ht="20.25" customHeight="1">
      <c r="A697" s="57"/>
      <c r="B697" s="57" t="s">
        <v>87</v>
      </c>
      <c r="C697" s="109"/>
      <c r="D697" s="108">
        <v>45701</v>
      </c>
      <c r="E697" s="30">
        <v>174</v>
      </c>
      <c r="F697" s="30"/>
      <c r="G697" s="31"/>
      <c r="H697" s="176">
        <v>1689</v>
      </c>
      <c r="I697" s="187"/>
      <c r="J697" s="32"/>
      <c r="K697" s="138" t="s">
        <v>118</v>
      </c>
      <c r="L697" s="32"/>
      <c r="M697" s="323" t="e">
        <f>Tracking_SI[[#This Row],[Chênh lệch 
(thừa so với ĐH)]]/Tracking_SI[[#This Row],[Số  lượng trên ĐH]]</f>
        <v>#DIV/0!</v>
      </c>
    </row>
    <row r="698" spans="1:13" ht="20.25" customHeight="1">
      <c r="A698" s="58" t="s">
        <v>115</v>
      </c>
      <c r="B698" s="57" t="s">
        <v>87</v>
      </c>
      <c r="C698" s="109"/>
      <c r="D698" s="300">
        <v>45702</v>
      </c>
      <c r="E698" s="310" t="s">
        <v>44</v>
      </c>
      <c r="F698" s="302" t="s">
        <v>8</v>
      </c>
      <c r="G698" s="303">
        <v>5000</v>
      </c>
      <c r="H698" s="304">
        <f>SUM(H699:H703)</f>
        <v>5786</v>
      </c>
      <c r="I698" s="237">
        <f>G698-H698</f>
        <v>-786</v>
      </c>
      <c r="J698" s="161">
        <v>31800</v>
      </c>
      <c r="K698" s="193"/>
      <c r="L698" s="24"/>
      <c r="M698" s="323">
        <f>Tracking_SI[[#This Row],[Chênh lệch 
(thừa so với ĐH)]]/Tracking_SI[[#This Row],[Số  lượng trên ĐH]]</f>
        <v>-0.15720000000000001</v>
      </c>
    </row>
    <row r="699" spans="1:13" ht="20.25" customHeight="1">
      <c r="A699" s="57"/>
      <c r="B699" s="57" t="s">
        <v>87</v>
      </c>
      <c r="C699" s="109"/>
      <c r="D699" s="108">
        <v>45731</v>
      </c>
      <c r="E699" s="30" t="s">
        <v>44</v>
      </c>
      <c r="F699" s="30"/>
      <c r="G699" s="31"/>
      <c r="H699" s="164">
        <v>1200</v>
      </c>
      <c r="I699" s="189"/>
      <c r="J699" s="32"/>
      <c r="K699" s="133" t="s">
        <v>118</v>
      </c>
      <c r="L699" s="32"/>
      <c r="M699" s="323" t="e">
        <f>Tracking_SI[[#This Row],[Chênh lệch 
(thừa so với ĐH)]]/Tracking_SI[[#This Row],[Số  lượng trên ĐH]]</f>
        <v>#DIV/0!</v>
      </c>
    </row>
    <row r="700" spans="1:13" ht="20.25" customHeight="1">
      <c r="A700" s="57"/>
      <c r="B700" s="57" t="s">
        <v>87</v>
      </c>
      <c r="C700" s="109"/>
      <c r="D700" s="108">
        <v>45776</v>
      </c>
      <c r="E700" s="30" t="s">
        <v>44</v>
      </c>
      <c r="F700" s="30"/>
      <c r="G700" s="31"/>
      <c r="H700" s="164">
        <v>988</v>
      </c>
      <c r="I700" s="186"/>
      <c r="J700" s="32"/>
      <c r="K700" s="133" t="s">
        <v>118</v>
      </c>
      <c r="L700" s="32"/>
      <c r="M700" s="323" t="e">
        <f>Tracking_SI[[#This Row],[Chênh lệch 
(thừa so với ĐH)]]/Tracking_SI[[#This Row],[Số  lượng trên ĐH]]</f>
        <v>#DIV/0!</v>
      </c>
    </row>
    <row r="701" spans="1:13" ht="20.25" customHeight="1">
      <c r="A701" s="57"/>
      <c r="B701" s="57" t="s">
        <v>87</v>
      </c>
      <c r="C701" s="109"/>
      <c r="D701" s="108">
        <v>45799</v>
      </c>
      <c r="E701" s="30" t="s">
        <v>44</v>
      </c>
      <c r="F701" s="30"/>
      <c r="G701" s="31"/>
      <c r="H701" s="164">
        <v>1950</v>
      </c>
      <c r="I701" s="187"/>
      <c r="J701" s="32"/>
      <c r="K701" s="133" t="s">
        <v>118</v>
      </c>
      <c r="L701" s="32"/>
      <c r="M701" s="323" t="e">
        <f>Tracking_SI[[#This Row],[Chênh lệch 
(thừa so với ĐH)]]/Tracking_SI[[#This Row],[Số  lượng trên ĐH]]</f>
        <v>#DIV/0!</v>
      </c>
    </row>
    <row r="702" spans="1:13" ht="20.25" customHeight="1">
      <c r="A702" s="57"/>
      <c r="B702" s="57" t="s">
        <v>87</v>
      </c>
      <c r="C702" s="109"/>
      <c r="D702" s="116">
        <v>45819</v>
      </c>
      <c r="E702" s="30" t="s">
        <v>44</v>
      </c>
      <c r="F702" s="30"/>
      <c r="G702" s="30"/>
      <c r="H702" s="169">
        <v>967</v>
      </c>
      <c r="I702" s="187"/>
      <c r="J702" s="37"/>
      <c r="K702" s="139"/>
      <c r="L702" s="37"/>
      <c r="M702" s="323" t="e">
        <f>Tracking_SI[[#This Row],[Chênh lệch 
(thừa so với ĐH)]]/Tracking_SI[[#This Row],[Số  lượng trên ĐH]]</f>
        <v>#DIV/0!</v>
      </c>
    </row>
    <row r="703" spans="1:13" ht="20.25" customHeight="1">
      <c r="A703" s="57"/>
      <c r="B703" s="57" t="s">
        <v>87</v>
      </c>
      <c r="C703" s="109"/>
      <c r="D703" s="116">
        <v>45976</v>
      </c>
      <c r="E703" s="30" t="s">
        <v>44</v>
      </c>
      <c r="F703" s="30"/>
      <c r="G703" s="31"/>
      <c r="H703" s="166">
        <v>681</v>
      </c>
      <c r="I703" s="187"/>
      <c r="J703" s="32"/>
      <c r="K703" s="133"/>
      <c r="L703" s="32"/>
      <c r="M703" s="323" t="e">
        <f>Tracking_SI[[#This Row],[Chênh lệch 
(thừa so với ĐH)]]/Tracking_SI[[#This Row],[Số  lượng trên ĐH]]</f>
        <v>#DIV/0!</v>
      </c>
    </row>
    <row r="704" spans="1:13" ht="20.25" customHeight="1">
      <c r="A704" s="58" t="s">
        <v>106</v>
      </c>
      <c r="B704" s="81"/>
      <c r="C704" s="82" t="s">
        <v>88</v>
      </c>
      <c r="D704" s="118"/>
      <c r="E704" s="83"/>
      <c r="F704" s="84"/>
      <c r="G704" s="84"/>
      <c r="H704" s="84"/>
      <c r="I704" s="208"/>
      <c r="J704" s="85"/>
      <c r="K704" s="141"/>
      <c r="L704" s="85"/>
      <c r="M704" s="323" t="e">
        <f>Tracking_SI[[#This Row],[Chênh lệch 
(thừa so với ĐH)]]/Tracking_SI[[#This Row],[Số  lượng trên ĐH]]</f>
        <v>#DIV/0!</v>
      </c>
    </row>
    <row r="705" spans="1:13" ht="20.25" customHeight="1">
      <c r="A705" s="58" t="s">
        <v>115</v>
      </c>
      <c r="C705" s="48"/>
      <c r="D705" s="111">
        <v>45525</v>
      </c>
      <c r="E705" s="25" t="s">
        <v>47</v>
      </c>
      <c r="F705" s="25" t="s">
        <v>21</v>
      </c>
      <c r="G705" s="39">
        <v>1066</v>
      </c>
      <c r="H705" s="173">
        <f>SUM(H706:H707)</f>
        <v>980</v>
      </c>
      <c r="I705" s="186">
        <f>G705-H705</f>
        <v>86</v>
      </c>
      <c r="J705" s="24">
        <v>31500</v>
      </c>
      <c r="K705" s="127" t="s">
        <v>215</v>
      </c>
      <c r="L705" s="24"/>
      <c r="M705" s="323">
        <f>Tracking_SI[[#This Row],[Chênh lệch 
(thừa so với ĐH)]]/Tracking_SI[[#This Row],[Số  lượng trên ĐH]]</f>
        <v>8.0675422138836772E-2</v>
      </c>
    </row>
    <row r="706" spans="1:13" ht="20.25" customHeight="1">
      <c r="A706" s="58"/>
      <c r="C706" s="48"/>
      <c r="D706" s="116">
        <v>45712</v>
      </c>
      <c r="E706" s="30">
        <v>224</v>
      </c>
      <c r="F706" s="30"/>
      <c r="G706" s="44"/>
      <c r="H706" s="174">
        <v>980</v>
      </c>
      <c r="I706" s="187"/>
      <c r="J706" s="32"/>
      <c r="K706" s="133"/>
      <c r="L706" s="32"/>
      <c r="M706" s="323" t="e">
        <f>Tracking_SI[[#This Row],[Chênh lệch 
(thừa so với ĐH)]]/Tracking_SI[[#This Row],[Số  lượng trên ĐH]]</f>
        <v>#DIV/0!</v>
      </c>
    </row>
    <row r="707" spans="1:13" ht="20.25" customHeight="1">
      <c r="A707" s="58"/>
      <c r="C707" s="48"/>
      <c r="D707" s="116"/>
      <c r="F707" s="30"/>
      <c r="G707" s="44"/>
      <c r="H707" s="174"/>
      <c r="I707" s="187"/>
      <c r="J707" s="32"/>
      <c r="K707" s="133"/>
      <c r="L707" s="32"/>
      <c r="M707" s="323" t="e">
        <f>Tracking_SI[[#This Row],[Chênh lệch 
(thừa so với ĐH)]]/Tracking_SI[[#This Row],[Số  lượng trên ĐH]]</f>
        <v>#DIV/0!</v>
      </c>
    </row>
    <row r="708" spans="1:13" ht="20.25" customHeight="1">
      <c r="A708" s="58" t="s">
        <v>106</v>
      </c>
      <c r="B708" s="89"/>
      <c r="C708" s="88" t="s">
        <v>89</v>
      </c>
      <c r="D708" s="118"/>
      <c r="E708" s="83"/>
      <c r="F708" s="83"/>
      <c r="G708" s="84"/>
      <c r="H708" s="84"/>
      <c r="I708" s="206"/>
      <c r="J708" s="85"/>
      <c r="K708" s="141"/>
      <c r="L708" s="85"/>
      <c r="M708" s="323" t="e">
        <f>Tracking_SI[[#This Row],[Chênh lệch 
(thừa so với ĐH)]]/Tracking_SI[[#This Row],[Số  lượng trên ĐH]]</f>
        <v>#DIV/0!</v>
      </c>
    </row>
    <row r="709" spans="1:13" ht="20.25" customHeight="1">
      <c r="A709" s="57" t="s">
        <v>115</v>
      </c>
      <c r="C709" s="46"/>
      <c r="D709" s="111">
        <v>45673</v>
      </c>
      <c r="E709" s="25" t="s">
        <v>73</v>
      </c>
      <c r="F709" s="25" t="s">
        <v>8</v>
      </c>
      <c r="G709" s="24">
        <v>5000</v>
      </c>
      <c r="H709" s="175">
        <f>SUM(H710:H711)</f>
        <v>5000</v>
      </c>
      <c r="I709" s="189">
        <f>G709-H709</f>
        <v>0</v>
      </c>
      <c r="J709" s="24">
        <v>31800</v>
      </c>
      <c r="K709" s="130" t="s">
        <v>116</v>
      </c>
      <c r="L709" s="24"/>
      <c r="M709" s="323">
        <f>Tracking_SI[[#This Row],[Chênh lệch 
(thừa so với ĐH)]]/Tracking_SI[[#This Row],[Số  lượng trên ĐH]]</f>
        <v>0</v>
      </c>
    </row>
    <row r="710" spans="1:13" ht="20.25" customHeight="1">
      <c r="A710" s="57"/>
      <c r="C710" s="46"/>
      <c r="D710" s="116">
        <v>45744</v>
      </c>
      <c r="E710" s="30">
        <v>416</v>
      </c>
      <c r="F710" s="30"/>
      <c r="G710" s="31"/>
      <c r="H710" s="177">
        <v>2935</v>
      </c>
      <c r="I710" s="186"/>
      <c r="J710" s="32"/>
      <c r="K710" s="138" t="s">
        <v>118</v>
      </c>
      <c r="L710" s="32"/>
      <c r="M710" s="323" t="e">
        <f>Tracking_SI[[#This Row],[Chênh lệch 
(thừa so với ĐH)]]/Tracking_SI[[#This Row],[Số  lượng trên ĐH]]</f>
        <v>#DIV/0!</v>
      </c>
    </row>
    <row r="711" spans="1:13" ht="19.5" customHeight="1">
      <c r="A711" s="57"/>
      <c r="C711" s="46"/>
      <c r="D711" s="116">
        <v>45752</v>
      </c>
      <c r="E711" s="30">
        <v>495</v>
      </c>
      <c r="F711" s="30"/>
      <c r="G711" s="31"/>
      <c r="H711" s="177">
        <v>2065</v>
      </c>
      <c r="I711" s="187"/>
      <c r="J711" s="32"/>
      <c r="K711" s="138" t="s">
        <v>118</v>
      </c>
      <c r="L711" s="32"/>
      <c r="M711" s="323" t="e">
        <f>Tracking_SI[[#This Row],[Chênh lệch 
(thừa so với ĐH)]]/Tracking_SI[[#This Row],[Số  lượng trên ĐH]]</f>
        <v>#DIV/0!</v>
      </c>
    </row>
    <row r="712" spans="1:13" ht="19.5" customHeight="1">
      <c r="A712" s="57" t="s">
        <v>115</v>
      </c>
      <c r="C712" s="46"/>
      <c r="D712" s="111">
        <v>45730</v>
      </c>
      <c r="E712" s="25" t="s">
        <v>90</v>
      </c>
      <c r="F712" s="25" t="s">
        <v>8</v>
      </c>
      <c r="G712" s="24">
        <v>10000</v>
      </c>
      <c r="H712" s="163">
        <f>SUM(H713:H717)</f>
        <v>9046</v>
      </c>
      <c r="I712" s="187">
        <f>G712-H712</f>
        <v>954</v>
      </c>
      <c r="J712" s="24">
        <v>31800</v>
      </c>
      <c r="K712" s="130"/>
      <c r="L712" s="32"/>
      <c r="M712" s="323">
        <f>Tracking_SI[[#This Row],[Chênh lệch 
(thừa so với ĐH)]]/Tracking_SI[[#This Row],[Số  lượng trên ĐH]]</f>
        <v>9.5399999999999999E-2</v>
      </c>
    </row>
    <row r="713" spans="1:13" ht="19.5" customHeight="1">
      <c r="A713" s="57"/>
      <c r="C713" s="46"/>
      <c r="D713" s="116">
        <v>45752</v>
      </c>
      <c r="E713" s="30">
        <v>496</v>
      </c>
      <c r="F713" s="30"/>
      <c r="G713" s="31"/>
      <c r="H713" s="166">
        <v>1543</v>
      </c>
      <c r="I713" s="187"/>
      <c r="J713" s="32"/>
      <c r="K713" s="133"/>
      <c r="L713" s="32"/>
      <c r="M713" s="323" t="e">
        <f>Tracking_SI[[#This Row],[Chênh lệch 
(thừa so với ĐH)]]/Tracking_SI[[#This Row],[Số  lượng trên ĐH]]</f>
        <v>#DIV/0!</v>
      </c>
    </row>
    <row r="714" spans="1:13" ht="19.5" customHeight="1">
      <c r="A714" s="57"/>
      <c r="C714" s="46"/>
      <c r="D714" s="116">
        <v>45757</v>
      </c>
      <c r="E714" s="30">
        <v>520</v>
      </c>
      <c r="F714" s="30"/>
      <c r="G714" s="31"/>
      <c r="H714" s="166">
        <v>1955</v>
      </c>
      <c r="I714" s="189"/>
      <c r="J714" s="32"/>
      <c r="K714" s="133"/>
      <c r="L714" s="32"/>
      <c r="M714" s="323" t="e">
        <f>Tracking_SI[[#This Row],[Chênh lệch 
(thừa so với ĐH)]]/Tracking_SI[[#This Row],[Số  lượng trên ĐH]]</f>
        <v>#DIV/0!</v>
      </c>
    </row>
    <row r="715" spans="1:13" ht="19.5" customHeight="1">
      <c r="A715" s="57"/>
      <c r="C715" s="46"/>
      <c r="D715" s="116">
        <v>45776</v>
      </c>
      <c r="E715" s="30">
        <v>661</v>
      </c>
      <c r="F715" s="30"/>
      <c r="G715" s="31"/>
      <c r="H715" s="166">
        <v>3581</v>
      </c>
      <c r="I715" s="186"/>
      <c r="J715" s="32"/>
      <c r="K715" s="133"/>
      <c r="L715" s="32"/>
      <c r="M715" s="323" t="e">
        <f>Tracking_SI[[#This Row],[Chênh lệch 
(thừa so với ĐH)]]/Tracking_SI[[#This Row],[Số  lượng trên ĐH]]</f>
        <v>#DIV/0!</v>
      </c>
    </row>
    <row r="716" spans="1:13" ht="19.5" customHeight="1">
      <c r="A716" s="57"/>
      <c r="C716" s="46"/>
      <c r="D716" s="116">
        <v>45783</v>
      </c>
      <c r="E716" s="30">
        <v>682</v>
      </c>
      <c r="F716" s="30"/>
      <c r="G716" s="31"/>
      <c r="H716" s="166">
        <v>1967</v>
      </c>
      <c r="I716" s="187"/>
      <c r="J716" s="32"/>
      <c r="K716" s="133"/>
      <c r="L716" s="32"/>
      <c r="M716" s="323" t="e">
        <f>Tracking_SI[[#This Row],[Chênh lệch 
(thừa so với ĐH)]]/Tracking_SI[[#This Row],[Số  lượng trên ĐH]]</f>
        <v>#DIV/0!</v>
      </c>
    </row>
    <row r="717" spans="1:13" ht="19.5" customHeight="1">
      <c r="A717" s="57"/>
      <c r="C717" s="46"/>
      <c r="D717" s="116"/>
      <c r="F717" s="30"/>
      <c r="G717" s="31"/>
      <c r="H717" s="166"/>
      <c r="I717" s="187"/>
      <c r="J717" s="32"/>
      <c r="K717" s="133"/>
      <c r="L717" s="32"/>
      <c r="M717" s="323" t="e">
        <f>Tracking_SI[[#This Row],[Chênh lệch 
(thừa so với ĐH)]]/Tracking_SI[[#This Row],[Số  lượng trên ĐH]]</f>
        <v>#DIV/0!</v>
      </c>
    </row>
    <row r="718" spans="1:13" ht="19.5" customHeight="1">
      <c r="A718" s="58" t="s">
        <v>106</v>
      </c>
      <c r="B718" s="81" t="s">
        <v>184</v>
      </c>
      <c r="C718" s="88" t="s">
        <v>185</v>
      </c>
      <c r="D718" s="118"/>
      <c r="E718" s="83"/>
      <c r="F718" s="83"/>
      <c r="G718" s="84"/>
      <c r="H718" s="84"/>
      <c r="I718" s="206"/>
      <c r="J718" s="85"/>
      <c r="K718" s="141"/>
      <c r="L718" s="85"/>
      <c r="M718" s="323" t="e">
        <f>Tracking_SI[[#This Row],[Chênh lệch 
(thừa so với ĐH)]]/Tracking_SI[[#This Row],[Số  lượng trên ĐH]]</f>
        <v>#DIV/0!</v>
      </c>
    </row>
    <row r="719" spans="1:13" ht="19.5" customHeight="1">
      <c r="A719" s="57" t="s">
        <v>115</v>
      </c>
      <c r="B719" s="57" t="s">
        <v>184</v>
      </c>
      <c r="C719" s="49"/>
      <c r="D719" s="113">
        <v>45720</v>
      </c>
      <c r="E719" s="28" t="s">
        <v>45</v>
      </c>
      <c r="F719" s="29" t="s">
        <v>8</v>
      </c>
      <c r="G719" s="338">
        <v>2000</v>
      </c>
      <c r="H719" s="338">
        <f>SUM(H720:H722)</f>
        <v>2000</v>
      </c>
      <c r="I719" s="130">
        <f>G719-H719</f>
        <v>0</v>
      </c>
      <c r="J719" s="38">
        <v>33300</v>
      </c>
      <c r="K719" s="130" t="s">
        <v>116</v>
      </c>
      <c r="L719"/>
      <c r="M719">
        <f>Tracking_SI[[#This Row],[Chênh lệch 
(thừa so với ĐH)]]/Tracking_SI[[#This Row],[Số  lượng trên ĐH]]</f>
        <v>0</v>
      </c>
    </row>
    <row r="720" spans="1:13" ht="19.5" customHeight="1">
      <c r="A720" s="57"/>
      <c r="B720" s="1" t="s">
        <v>184</v>
      </c>
      <c r="C720" s="46"/>
      <c r="D720" s="116">
        <v>45731</v>
      </c>
      <c r="E720" s="30" t="s">
        <v>45</v>
      </c>
      <c r="F720" s="30"/>
      <c r="G720" s="31"/>
      <c r="H720" s="164">
        <v>752</v>
      </c>
      <c r="I720" s="186"/>
      <c r="J720" s="32"/>
      <c r="K720" s="196" t="s">
        <v>118</v>
      </c>
      <c r="L720" s="32"/>
      <c r="M720" s="323" t="e">
        <f>Tracking_SI[[#This Row],[Chênh lệch 
(thừa so với ĐH)]]/Tracking_SI[[#This Row],[Số  lượng trên ĐH]]</f>
        <v>#DIV/0!</v>
      </c>
    </row>
    <row r="721" spans="1:13" ht="19.5" customHeight="1">
      <c r="A721" s="57"/>
      <c r="B721" s="1" t="s">
        <v>184</v>
      </c>
      <c r="C721" s="46"/>
      <c r="D721" s="116">
        <v>45976</v>
      </c>
      <c r="E721" s="30" t="s">
        <v>45</v>
      </c>
      <c r="F721" s="30"/>
      <c r="G721" s="31"/>
      <c r="H721" s="164">
        <v>577</v>
      </c>
      <c r="I721" s="186"/>
      <c r="J721" s="32"/>
      <c r="K721" s="196" t="s">
        <v>118</v>
      </c>
      <c r="L721" s="32"/>
      <c r="M721" s="323" t="e">
        <f>Tracking_SI[[#This Row],[Chênh lệch 
(thừa so với ĐH)]]/Tracking_SI[[#This Row],[Số  lượng trên ĐH]]</f>
        <v>#DIV/0!</v>
      </c>
    </row>
    <row r="722" spans="1:13" ht="19.5" customHeight="1">
      <c r="A722" s="57"/>
      <c r="B722" s="1" t="s">
        <v>184</v>
      </c>
      <c r="C722" s="46"/>
      <c r="D722" s="116">
        <v>45981</v>
      </c>
      <c r="E722" s="30" t="s">
        <v>45</v>
      </c>
      <c r="F722" s="30"/>
      <c r="G722" s="31"/>
      <c r="H722" s="164">
        <v>671</v>
      </c>
      <c r="I722" s="186"/>
      <c r="J722" s="32"/>
      <c r="K722" s="196" t="s">
        <v>118</v>
      </c>
      <c r="L722" s="32"/>
      <c r="M722" s="323" t="e">
        <f>Tracking_SI[[#This Row],[Chênh lệch 
(thừa so với ĐH)]]/Tracking_SI[[#This Row],[Số  lượng trên ĐH]]</f>
        <v>#DIV/0!</v>
      </c>
    </row>
    <row r="723" spans="1:13" ht="19.5" customHeight="1">
      <c r="A723" s="57" t="s">
        <v>115</v>
      </c>
      <c r="B723" s="1" t="s">
        <v>184</v>
      </c>
      <c r="C723" s="46"/>
      <c r="D723" s="300">
        <v>45720</v>
      </c>
      <c r="E723" s="310" t="s">
        <v>186</v>
      </c>
      <c r="F723" s="303" t="s">
        <v>8</v>
      </c>
      <c r="G723" s="304">
        <v>3000</v>
      </c>
      <c r="H723" s="306">
        <f>SUM(H724:H726)</f>
        <v>1341</v>
      </c>
      <c r="I723" s="304">
        <f>G723-H723</f>
        <v>1659</v>
      </c>
      <c r="J723" s="303">
        <v>33300</v>
      </c>
      <c r="K723" s="304"/>
      <c r="L723" s="32"/>
      <c r="M723" s="323">
        <f>Tracking_SI[[#This Row],[Chênh lệch 
(thừa so với ĐH)]]/Tracking_SI[[#This Row],[Số  lượng trên ĐH]]</f>
        <v>0.55300000000000005</v>
      </c>
    </row>
    <row r="724" spans="1:13" ht="19.5" customHeight="1">
      <c r="A724" s="57"/>
      <c r="B724" s="1" t="s">
        <v>184</v>
      </c>
      <c r="C724" s="152"/>
      <c r="D724" s="116"/>
      <c r="E724" s="30" t="s">
        <v>186</v>
      </c>
      <c r="F724" s="31"/>
      <c r="G724" s="31"/>
      <c r="H724" s="187">
        <v>478</v>
      </c>
      <c r="I724" s="133"/>
      <c r="J724" s="32"/>
      <c r="K724" s="326"/>
      <c r="L724"/>
      <c r="M724" t="e">
        <f>Tracking_SI[[#This Row],[Chênh lệch 
(thừa so với ĐH)]]/Tracking_SI[[#This Row],[Số  lượng trên ĐH]]</f>
        <v>#DIV/0!</v>
      </c>
    </row>
    <row r="725" spans="1:13" ht="19.5" customHeight="1">
      <c r="A725" s="57"/>
      <c r="B725" s="1" t="s">
        <v>184</v>
      </c>
      <c r="C725" s="152"/>
      <c r="D725" s="116">
        <v>45981</v>
      </c>
      <c r="E725" s="30" t="s">
        <v>186</v>
      </c>
      <c r="F725" s="31"/>
      <c r="G725" s="30"/>
      <c r="H725" s="164">
        <v>478</v>
      </c>
      <c r="I725" s="133"/>
      <c r="J725" s="32"/>
      <c r="K725" s="326"/>
      <c r="L725"/>
      <c r="M725" t="e">
        <f>Tracking_SI[[#This Row],[Chênh lệch 
(thừa so với ĐH)]]/Tracking_SI[[#This Row],[Số  lượng trên ĐH]]</f>
        <v>#DIV/0!</v>
      </c>
    </row>
    <row r="726" spans="1:13" ht="21.75" customHeight="1">
      <c r="A726" s="57"/>
      <c r="B726" s="1" t="s">
        <v>184</v>
      </c>
      <c r="C726" s="152"/>
      <c r="D726" s="116">
        <v>45987</v>
      </c>
      <c r="E726" s="30" t="s">
        <v>186</v>
      </c>
      <c r="F726" s="30"/>
      <c r="G726" s="31"/>
      <c r="H726" s="164">
        <v>385</v>
      </c>
      <c r="I726" s="187"/>
      <c r="J726" s="32"/>
      <c r="K726" s="133"/>
      <c r="L726" s="32"/>
      <c r="M726" s="326" t="e">
        <f>Tracking_SI[[#This Row],[Chênh lệch 
(thừa so với ĐH)]]/Tracking_SI[[#This Row],[Số  lượng trên ĐH]]</f>
        <v>#DIV/0!</v>
      </c>
    </row>
    <row r="727" spans="1:13" ht="21.75" customHeight="1">
      <c r="A727" s="58" t="s">
        <v>106</v>
      </c>
      <c r="B727" s="89"/>
      <c r="C727" s="88" t="s">
        <v>91</v>
      </c>
      <c r="D727" s="118"/>
      <c r="E727" s="83"/>
      <c r="F727" s="83"/>
      <c r="G727" s="84"/>
      <c r="H727" s="84"/>
      <c r="I727" s="206"/>
      <c r="J727" s="85"/>
      <c r="K727" s="141"/>
      <c r="L727" s="85"/>
      <c r="M727" s="323" t="e">
        <f>Tracking_SI[[#This Row],[Chênh lệch 
(thừa so với ĐH)]]/Tracking_SI[[#This Row],[Số  lượng trên ĐH]]</f>
        <v>#DIV/0!</v>
      </c>
    </row>
    <row r="728" spans="1:13" ht="21.75" customHeight="1">
      <c r="A728" s="58" t="s">
        <v>115</v>
      </c>
      <c r="B728" s="1"/>
      <c r="C728" s="46"/>
      <c r="D728" s="111">
        <v>45659</v>
      </c>
      <c r="E728" s="25" t="s">
        <v>39</v>
      </c>
      <c r="F728" s="25" t="s">
        <v>8</v>
      </c>
      <c r="G728" s="24">
        <v>4000</v>
      </c>
      <c r="H728" s="175">
        <f>SUM(H729:H730)</f>
        <v>4051</v>
      </c>
      <c r="I728" s="187">
        <f>G728-H728</f>
        <v>-51</v>
      </c>
      <c r="J728" s="24">
        <v>32000</v>
      </c>
      <c r="K728" s="127" t="s">
        <v>116</v>
      </c>
      <c r="L728" s="24"/>
      <c r="M728" s="323">
        <f>Tracking_SI[[#This Row],[Chênh lệch 
(thừa so với ĐH)]]/Tracking_SI[[#This Row],[Số  lượng trên ĐH]]</f>
        <v>-1.2749999999999999E-2</v>
      </c>
    </row>
    <row r="729" spans="1:13" ht="21.75" customHeight="1">
      <c r="A729" s="57"/>
      <c r="C729" s="46"/>
      <c r="D729" s="116">
        <v>45664</v>
      </c>
      <c r="E729" s="30">
        <v>27</v>
      </c>
      <c r="F729" s="30"/>
      <c r="G729" s="31"/>
      <c r="H729" s="166">
        <v>3604</v>
      </c>
      <c r="I729" s="189"/>
      <c r="J729" s="32"/>
      <c r="K729" s="133"/>
      <c r="L729" s="32"/>
      <c r="M729" s="323" t="e">
        <f>Tracking_SI[[#This Row],[Chênh lệch 
(thừa so với ĐH)]]/Tracking_SI[[#This Row],[Số  lượng trên ĐH]]</f>
        <v>#DIV/0!</v>
      </c>
    </row>
    <row r="730" spans="1:13" ht="21.75" customHeight="1">
      <c r="A730" s="57"/>
      <c r="C730" s="46"/>
      <c r="D730" s="116">
        <v>45666</v>
      </c>
      <c r="E730" s="30">
        <v>32</v>
      </c>
      <c r="F730" s="30"/>
      <c r="G730" s="31"/>
      <c r="H730" s="166">
        <v>447</v>
      </c>
      <c r="I730" s="186"/>
      <c r="J730" s="32"/>
      <c r="K730" s="133"/>
      <c r="L730" s="32"/>
      <c r="M730" s="323" t="e">
        <f>Tracking_SI[[#This Row],[Chênh lệch 
(thừa so với ĐH)]]/Tracking_SI[[#This Row],[Số  lượng trên ĐH]]</f>
        <v>#DIV/0!</v>
      </c>
    </row>
    <row r="731" spans="1:13" ht="21.75" customHeight="1">
      <c r="A731" s="57"/>
      <c r="C731" s="46"/>
      <c r="D731" s="116"/>
      <c r="F731" s="30"/>
      <c r="G731" s="31"/>
      <c r="H731" s="166"/>
      <c r="I731" s="187"/>
      <c r="J731" s="32"/>
      <c r="K731" s="133"/>
      <c r="L731" s="32"/>
      <c r="M731" s="323" t="e">
        <f>Tracking_SI[[#This Row],[Chênh lệch 
(thừa so với ĐH)]]/Tracking_SI[[#This Row],[Số  lượng trên ĐH]]</f>
        <v>#DIV/0!</v>
      </c>
    </row>
    <row r="732" spans="1:13" ht="21.75" customHeight="1">
      <c r="A732" s="58" t="s">
        <v>106</v>
      </c>
      <c r="B732" s="89" t="s">
        <v>207</v>
      </c>
      <c r="C732" s="88" t="s">
        <v>210</v>
      </c>
      <c r="D732" s="118"/>
      <c r="E732" s="83"/>
      <c r="F732" s="83"/>
      <c r="G732" s="84"/>
      <c r="H732" s="84"/>
      <c r="I732" s="206"/>
      <c r="J732" s="85"/>
      <c r="K732" s="141"/>
      <c r="L732" s="85"/>
      <c r="M732" s="323" t="e">
        <f>Tracking_SI[[#This Row],[Chênh lệch 
(thừa so với ĐH)]]/Tracking_SI[[#This Row],[Số  lượng trên ĐH]]</f>
        <v>#DIV/0!</v>
      </c>
    </row>
    <row r="733" spans="1:13" ht="21.75" customHeight="1">
      <c r="A733" s="58" t="s">
        <v>115</v>
      </c>
      <c r="B733" s="1" t="s">
        <v>207</v>
      </c>
      <c r="C733" s="46"/>
      <c r="D733" s="111">
        <v>45642</v>
      </c>
      <c r="E733" s="25" t="s">
        <v>92</v>
      </c>
      <c r="F733" s="25" t="s">
        <v>8</v>
      </c>
      <c r="G733" s="24">
        <v>5000</v>
      </c>
      <c r="H733" s="163"/>
      <c r="I733" s="187">
        <v>5000</v>
      </c>
      <c r="J733" s="24">
        <v>31800</v>
      </c>
      <c r="K733" s="130" t="s">
        <v>215</v>
      </c>
      <c r="L733" s="24"/>
      <c r="M733" s="323">
        <f>Tracking_SI[[#This Row],[Chênh lệch 
(thừa so với ĐH)]]/Tracking_SI[[#This Row],[Số  lượng trên ĐH]]</f>
        <v>1</v>
      </c>
    </row>
    <row r="734" spans="1:13">
      <c r="A734" s="57" t="s">
        <v>115</v>
      </c>
      <c r="B734" s="363" t="s">
        <v>207</v>
      </c>
      <c r="C734" s="318"/>
      <c r="D734" s="341">
        <v>46078</v>
      </c>
      <c r="E734" s="342" t="s">
        <v>208</v>
      </c>
      <c r="F734" s="375"/>
      <c r="G734" s="347">
        <v>5000</v>
      </c>
      <c r="H734" s="343">
        <f>SUM(H735:H738)</f>
        <v>3799</v>
      </c>
      <c r="I734" s="340">
        <f>Tracking_SI[[#This Row],[Số  lượng trên ĐH]]-Tracking_SI[[#This Row],[Số  lượng giao]]</f>
        <v>1201</v>
      </c>
      <c r="J734" s="339"/>
      <c r="K734" s="356"/>
      <c r="L734" s="32"/>
      <c r="M734" s="323">
        <f>Tracking_SI[[#This Row],[Chênh lệch 
(thừa so với ĐH)]]/Tracking_SI[[#This Row],[Số  lượng trên ĐH]]</f>
        <v>0.2402</v>
      </c>
    </row>
    <row r="735" spans="1:13" ht="26.25" customHeight="1">
      <c r="A735" s="57"/>
      <c r="B735" s="1" t="s">
        <v>207</v>
      </c>
      <c r="C735" s="46"/>
      <c r="D735" s="116">
        <v>46085</v>
      </c>
      <c r="E735" s="30" t="s">
        <v>208</v>
      </c>
      <c r="F735" s="30"/>
      <c r="G735" s="31"/>
      <c r="H735" s="166">
        <v>1072</v>
      </c>
      <c r="I735" s="189"/>
      <c r="J735" s="32"/>
      <c r="K735" s="133"/>
      <c r="L735" s="32"/>
      <c r="M735" s="323" t="e">
        <f>Tracking_SI[[#This Row],[Chênh lệch 
(thừa so với ĐH)]]/Tracking_SI[[#This Row],[Số  lượng trên ĐH]]</f>
        <v>#DIV/0!</v>
      </c>
    </row>
    <row r="736" spans="1:13" ht="24" customHeight="1">
      <c r="A736" s="57"/>
      <c r="B736" s="1" t="s">
        <v>207</v>
      </c>
      <c r="C736" s="46"/>
      <c r="D736" s="116">
        <v>46090</v>
      </c>
      <c r="E736" s="30" t="s">
        <v>208</v>
      </c>
      <c r="F736" s="30"/>
      <c r="G736" s="31"/>
      <c r="H736" s="166">
        <v>1641</v>
      </c>
      <c r="I736" s="187"/>
      <c r="J736" s="32"/>
      <c r="K736" s="133"/>
      <c r="L736" s="32"/>
      <c r="M736" s="323" t="e">
        <f>Tracking_SI[[#This Row],[Chênh lệch 
(thừa so với ĐH)]]/Tracking_SI[[#This Row],[Số  lượng trên ĐH]]</f>
        <v>#DIV/0!</v>
      </c>
    </row>
    <row r="737" spans="1:20" ht="24" customHeight="1">
      <c r="A737" s="57" t="s">
        <v>118</v>
      </c>
      <c r="B737" s="1" t="s">
        <v>207</v>
      </c>
      <c r="C737" s="46"/>
      <c r="D737" s="116">
        <v>46093</v>
      </c>
      <c r="E737" s="30" t="s">
        <v>208</v>
      </c>
      <c r="F737" s="30"/>
      <c r="G737" s="31"/>
      <c r="H737" s="166">
        <v>1086</v>
      </c>
      <c r="I737" s="187"/>
      <c r="J737" s="32"/>
      <c r="K737" s="133"/>
      <c r="L737" s="32"/>
      <c r="M737" s="323" t="e">
        <f>Tracking_SI[[#This Row],[Chênh lệch 
(thừa so với ĐH)]]/Tracking_SI[[#This Row],[Số  lượng trên ĐH]]</f>
        <v>#DIV/0!</v>
      </c>
    </row>
    <row r="738" spans="1:20" ht="24" customHeight="1">
      <c r="A738" s="57"/>
      <c r="B738" s="1" t="s">
        <v>207</v>
      </c>
      <c r="C738" s="46"/>
      <c r="D738" s="116"/>
      <c r="E738" s="30" t="s">
        <v>208</v>
      </c>
      <c r="F738" s="30"/>
      <c r="G738" s="31"/>
      <c r="H738" s="166"/>
      <c r="I738" s="187"/>
      <c r="J738" s="32"/>
      <c r="K738" s="133"/>
      <c r="L738" s="32"/>
      <c r="M738" s="323" t="e">
        <f>Tracking_SI[[#This Row],[Chênh lệch 
(thừa so với ĐH)]]/Tracking_SI[[#This Row],[Số  lượng trên ĐH]]</f>
        <v>#DIV/0!</v>
      </c>
    </row>
    <row r="739" spans="1:20" ht="24" customHeight="1">
      <c r="A739" s="58" t="s">
        <v>106</v>
      </c>
      <c r="B739" s="90"/>
      <c r="C739" s="91" t="s">
        <v>93</v>
      </c>
      <c r="D739" s="121"/>
      <c r="E739" s="92"/>
      <c r="F739" s="92"/>
      <c r="G739" s="93"/>
      <c r="H739" s="93"/>
      <c r="I739" s="94"/>
      <c r="J739" s="94"/>
      <c r="K739" s="143"/>
      <c r="L739" s="94"/>
      <c r="M739" s="323" t="e">
        <f>Tracking_SI[[#This Row],[Chênh lệch 
(thừa so với ĐH)]]/Tracking_SI[[#This Row],[Số  lượng trên ĐH]]</f>
        <v>#DIV/0!</v>
      </c>
    </row>
    <row r="740" spans="1:20" ht="24" customHeight="1">
      <c r="A740" s="58" t="s">
        <v>115</v>
      </c>
      <c r="C740" s="48"/>
      <c r="D740" s="183">
        <v>45382</v>
      </c>
      <c r="E740" s="194" t="s">
        <v>83</v>
      </c>
      <c r="F740" s="28" t="s">
        <v>21</v>
      </c>
      <c r="G740" s="197">
        <v>1234</v>
      </c>
      <c r="H740" s="198">
        <f>SUM(H741:H741)</f>
        <v>1505</v>
      </c>
      <c r="I740" s="32">
        <f>G740-H740</f>
        <v>-271</v>
      </c>
      <c r="J740" s="149">
        <v>31600</v>
      </c>
      <c r="K740" s="195" t="s">
        <v>116</v>
      </c>
      <c r="L740" s="24"/>
      <c r="M740" s="323">
        <f>Tracking_SI[[#This Row],[Chênh lệch 
(thừa so với ĐH)]]/Tracking_SI[[#This Row],[Số  lượng trên ĐH]]</f>
        <v>-0.21961102106969205</v>
      </c>
      <c r="S740" s="17"/>
    </row>
    <row r="741" spans="1:20" ht="24" customHeight="1">
      <c r="A741" s="58"/>
      <c r="C741" s="48"/>
      <c r="D741" s="108">
        <v>45731</v>
      </c>
      <c r="E741" s="27">
        <v>343</v>
      </c>
      <c r="F741" s="27"/>
      <c r="G741" s="40"/>
      <c r="H741" s="178">
        <v>1505</v>
      </c>
      <c r="I741" s="32"/>
      <c r="J741" s="26"/>
      <c r="K741" s="138" t="s">
        <v>118</v>
      </c>
      <c r="L741" s="26"/>
      <c r="M741" s="323" t="e">
        <f>Tracking_SI[[#This Row],[Chênh lệch 
(thừa so với ĐH)]]/Tracking_SI[[#This Row],[Số  lượng trên ĐH]]</f>
        <v>#DIV/0!</v>
      </c>
      <c r="S741" s="17"/>
      <c r="T741" s="19"/>
    </row>
    <row r="742" spans="1:20" ht="24" customHeight="1">
      <c r="A742" s="57" t="s">
        <v>115</v>
      </c>
      <c r="C742" s="48"/>
      <c r="D742" s="111">
        <v>45673</v>
      </c>
      <c r="E742" s="25" t="s">
        <v>73</v>
      </c>
      <c r="F742" s="25" t="s">
        <v>8</v>
      </c>
      <c r="G742" s="39">
        <v>8000</v>
      </c>
      <c r="H742" s="173"/>
      <c r="I742" s="32">
        <f>G742-H742</f>
        <v>8000</v>
      </c>
      <c r="J742" s="24">
        <v>31800</v>
      </c>
      <c r="K742" s="130"/>
      <c r="L742" s="24"/>
      <c r="M742" s="323">
        <f>Tracking_SI[[#This Row],[Chênh lệch 
(thừa so với ĐH)]]/Tracking_SI[[#This Row],[Số  lượng trên ĐH]]</f>
        <v>1</v>
      </c>
      <c r="S742" s="17"/>
      <c r="T742" s="19"/>
    </row>
    <row r="743" spans="1:20" ht="24" customHeight="1">
      <c r="A743" s="58"/>
      <c r="C743" s="48"/>
      <c r="D743" s="108"/>
      <c r="E743" s="27"/>
      <c r="F743" s="27"/>
      <c r="G743" s="40"/>
      <c r="H743" s="171"/>
      <c r="I743" s="32"/>
      <c r="J743" s="26"/>
      <c r="K743" s="131"/>
      <c r="L743" s="26"/>
      <c r="M743" s="323" t="e">
        <f>Tracking_SI[[#This Row],[Chênh lệch 
(thừa so với ĐH)]]/Tracking_SI[[#This Row],[Số  lượng trên ĐH]]</f>
        <v>#DIV/0!</v>
      </c>
      <c r="S743" s="17"/>
      <c r="T743" s="19"/>
    </row>
    <row r="744" spans="1:20" ht="24" customHeight="1">
      <c r="A744" s="58"/>
      <c r="C744" s="48"/>
      <c r="D744" s="108"/>
      <c r="E744" s="27"/>
      <c r="F744" s="27"/>
      <c r="G744" s="40"/>
      <c r="H744" s="171"/>
      <c r="I744" s="32"/>
      <c r="J744" s="26"/>
      <c r="K744" s="131"/>
      <c r="L744" s="26"/>
      <c r="M744" s="323" t="e">
        <f>Tracking_SI[[#This Row],[Chênh lệch 
(thừa so với ĐH)]]/Tracking_SI[[#This Row],[Số  lượng trên ĐH]]</f>
        <v>#DIV/0!</v>
      </c>
      <c r="S744" s="17"/>
      <c r="T744" s="19"/>
    </row>
    <row r="745" spans="1:20" ht="24" customHeight="1">
      <c r="A745" s="58" t="s">
        <v>106</v>
      </c>
      <c r="B745" s="90"/>
      <c r="C745" s="95" t="s">
        <v>94</v>
      </c>
      <c r="D745" s="121"/>
      <c r="E745" s="92"/>
      <c r="F745" s="92"/>
      <c r="G745" s="96"/>
      <c r="H745" s="96"/>
      <c r="I745" s="94"/>
      <c r="J745" s="94"/>
      <c r="K745" s="143"/>
      <c r="L745" s="94"/>
      <c r="M745" s="323" t="e">
        <f>Tracking_SI[[#This Row],[Chênh lệch 
(thừa so với ĐH)]]/Tracking_SI[[#This Row],[Số  lượng trên ĐH]]</f>
        <v>#DIV/0!</v>
      </c>
      <c r="R745" s="19"/>
      <c r="T745" s="19"/>
    </row>
    <row r="746" spans="1:20" ht="24" customHeight="1">
      <c r="A746" s="58" t="s">
        <v>115</v>
      </c>
      <c r="C746" s="46"/>
      <c r="D746" s="113">
        <v>45601</v>
      </c>
      <c r="E746" s="25" t="s">
        <v>95</v>
      </c>
      <c r="F746" s="25" t="s">
        <v>8</v>
      </c>
      <c r="G746" s="24">
        <v>576</v>
      </c>
      <c r="H746" s="175">
        <f>SUM(H747:H748)</f>
        <v>4047</v>
      </c>
      <c r="I746" s="32">
        <f>G746-H746</f>
        <v>-3471</v>
      </c>
      <c r="J746" s="24">
        <v>31500</v>
      </c>
      <c r="K746" s="127" t="s">
        <v>116</v>
      </c>
      <c r="L746" s="24"/>
      <c r="M746" s="323">
        <f>Tracking_SI[[#This Row],[Chênh lệch 
(thừa so với ĐH)]]/Tracking_SI[[#This Row],[Số  lượng trên ĐH]]</f>
        <v>-6.026041666666667</v>
      </c>
      <c r="R746" s="19"/>
      <c r="T746" s="19"/>
    </row>
    <row r="747" spans="1:20">
      <c r="A747" s="57"/>
      <c r="C747" s="46"/>
      <c r="D747" s="116">
        <v>45672</v>
      </c>
      <c r="E747" s="30">
        <v>59</v>
      </c>
      <c r="F747" s="30"/>
      <c r="G747" s="31"/>
      <c r="H747" s="166">
        <v>4047</v>
      </c>
      <c r="I747" s="32"/>
      <c r="J747" s="32"/>
      <c r="K747" s="133"/>
      <c r="L747" s="32"/>
      <c r="M747" s="323" t="e">
        <f>Tracking_SI[[#This Row],[Chênh lệch 
(thừa so với ĐH)]]/Tracking_SI[[#This Row],[Số  lượng trên ĐH]]</f>
        <v>#DIV/0!</v>
      </c>
    </row>
    <row r="748" spans="1:20">
      <c r="A748" s="57"/>
      <c r="C748" s="46"/>
      <c r="D748" s="116"/>
      <c r="F748" s="30"/>
      <c r="G748" s="31"/>
      <c r="H748" s="166"/>
      <c r="I748" s="32"/>
      <c r="J748" s="32"/>
      <c r="K748" s="133"/>
      <c r="L748" s="32"/>
      <c r="M748" s="323" t="e">
        <f>Tracking_SI[[#This Row],[Chênh lệch 
(thừa so với ĐH)]]/Tracking_SI[[#This Row],[Số  lượng trên ĐH]]</f>
        <v>#DIV/0!</v>
      </c>
    </row>
    <row r="749" spans="1:20">
      <c r="A749" s="58" t="s">
        <v>106</v>
      </c>
      <c r="B749" s="90"/>
      <c r="C749" s="95" t="s">
        <v>96</v>
      </c>
      <c r="D749" s="121"/>
      <c r="E749" s="97"/>
      <c r="F749" s="97"/>
      <c r="G749" s="98"/>
      <c r="H749" s="98"/>
      <c r="I749" s="94"/>
      <c r="J749" s="98"/>
      <c r="K749" s="144"/>
      <c r="L749" s="94"/>
      <c r="M749" s="323" t="e">
        <f>Tracking_SI[[#This Row],[Chênh lệch 
(thừa so với ĐH)]]/Tracking_SI[[#This Row],[Số  lượng trên ĐH]]</f>
        <v>#DIV/0!</v>
      </c>
    </row>
    <row r="750" spans="1:20">
      <c r="A750" s="57" t="s">
        <v>115</v>
      </c>
      <c r="C750" s="46"/>
      <c r="D750" s="183">
        <v>45671</v>
      </c>
      <c r="E750" s="194" t="s">
        <v>97</v>
      </c>
      <c r="F750" s="28" t="s">
        <v>8</v>
      </c>
      <c r="G750" s="149">
        <v>12000</v>
      </c>
      <c r="H750" s="179">
        <f>SUM(H751:H753)</f>
        <v>15149</v>
      </c>
      <c r="I750" s="32">
        <f>G750-H750</f>
        <v>-3149</v>
      </c>
      <c r="J750" s="149">
        <v>32000</v>
      </c>
      <c r="K750" s="195" t="s">
        <v>116</v>
      </c>
      <c r="L750" s="29"/>
      <c r="M750" s="323">
        <f>Tracking_SI[[#This Row],[Chênh lệch 
(thừa so với ĐH)]]/Tracking_SI[[#This Row],[Số  lượng trên ĐH]]</f>
        <v>-0.26241666666666669</v>
      </c>
    </row>
    <row r="751" spans="1:20">
      <c r="A751" s="57"/>
      <c r="C751" s="46"/>
      <c r="D751" s="116">
        <v>45672</v>
      </c>
      <c r="E751" s="30">
        <v>59</v>
      </c>
      <c r="F751" s="30"/>
      <c r="G751" s="31"/>
      <c r="H751" s="166">
        <v>2816</v>
      </c>
      <c r="I751" s="32"/>
      <c r="J751" s="32"/>
      <c r="K751" s="133"/>
      <c r="L751" s="32"/>
      <c r="M751" s="323" t="e">
        <f>Tracking_SI[[#This Row],[Chênh lệch 
(thừa so với ĐH)]]/Tracking_SI[[#This Row],[Số  lượng trên ĐH]]</f>
        <v>#DIV/0!</v>
      </c>
    </row>
    <row r="752" spans="1:20">
      <c r="A752" s="57"/>
      <c r="C752" s="46"/>
      <c r="D752" s="116">
        <v>45681</v>
      </c>
      <c r="E752" s="30">
        <v>120</v>
      </c>
      <c r="F752" s="30"/>
      <c r="G752" s="31"/>
      <c r="H752" s="166">
        <v>5022</v>
      </c>
      <c r="I752" s="32"/>
      <c r="J752" s="32"/>
      <c r="K752" s="133"/>
      <c r="L752" s="32"/>
      <c r="M752" s="323" t="e">
        <f>Tracking_SI[[#This Row],[Chênh lệch 
(thừa so với ĐH)]]/Tracking_SI[[#This Row],[Số  lượng trên ĐH]]</f>
        <v>#DIV/0!</v>
      </c>
    </row>
    <row r="753" spans="1:13">
      <c r="A753" s="57"/>
      <c r="C753" s="46"/>
      <c r="D753" s="116">
        <v>45772</v>
      </c>
      <c r="E753" s="30">
        <v>627</v>
      </c>
      <c r="F753" s="30"/>
      <c r="G753" s="31"/>
      <c r="H753" s="166">
        <v>7311</v>
      </c>
      <c r="I753" s="32"/>
      <c r="J753" s="32"/>
      <c r="K753" s="133"/>
      <c r="L753" s="32"/>
      <c r="M753" s="323" t="e">
        <f>Tracking_SI[[#This Row],[Chênh lệch 
(thừa so với ĐH)]]/Tracking_SI[[#This Row],[Số  lượng trên ĐH]]</f>
        <v>#DIV/0!</v>
      </c>
    </row>
    <row r="754" spans="1:13">
      <c r="A754" s="58" t="s">
        <v>106</v>
      </c>
      <c r="B754" s="331" t="s">
        <v>182</v>
      </c>
      <c r="C754" s="91" t="s">
        <v>183</v>
      </c>
      <c r="D754" s="121"/>
      <c r="E754" s="92"/>
      <c r="F754" s="92"/>
      <c r="G754" s="96"/>
      <c r="H754" s="96"/>
      <c r="I754" s="94"/>
      <c r="J754" s="94"/>
      <c r="K754" s="143"/>
      <c r="L754" s="94"/>
      <c r="M754" s="323" t="e">
        <f>Tracking_SI[[#This Row],[Chênh lệch 
(thừa so với ĐH)]]/Tracking_SI[[#This Row],[Số  lượng trên ĐH]]</f>
        <v>#DIV/0!</v>
      </c>
    </row>
    <row r="755" spans="1:13">
      <c r="A755" s="57" t="s">
        <v>115</v>
      </c>
      <c r="B755" s="1" t="s">
        <v>182</v>
      </c>
      <c r="C755" s="46"/>
      <c r="D755" s="154">
        <v>45734</v>
      </c>
      <c r="E755" s="155" t="s">
        <v>32</v>
      </c>
      <c r="F755" s="25" t="s">
        <v>8</v>
      </c>
      <c r="G755" s="156">
        <v>12500</v>
      </c>
      <c r="H755" s="168">
        <f>SUM(H756:H759)</f>
        <v>10135</v>
      </c>
      <c r="I755" s="334">
        <f>G755-H755</f>
        <v>2365</v>
      </c>
      <c r="J755" s="24">
        <v>32000</v>
      </c>
      <c r="K755" s="182"/>
      <c r="L755" s="24"/>
      <c r="M755" s="323">
        <f>Tracking_SI[[#This Row],[Chênh lệch 
(thừa so với ĐH)]]/Tracking_SI[[#This Row],[Số  lượng trên ĐH]]</f>
        <v>0.18920000000000001</v>
      </c>
    </row>
    <row r="756" spans="1:13">
      <c r="A756" s="57"/>
      <c r="B756" s="1" t="s">
        <v>182</v>
      </c>
      <c r="C756" s="46"/>
      <c r="D756" s="108">
        <v>45742</v>
      </c>
      <c r="E756" s="332" t="s">
        <v>32</v>
      </c>
      <c r="F756" s="27"/>
      <c r="G756" s="26"/>
      <c r="H756" s="164">
        <v>3515</v>
      </c>
      <c r="I756" s="32"/>
      <c r="J756" s="24"/>
      <c r="K756" s="130"/>
      <c r="L756" s="24"/>
      <c r="M756" s="323" t="e">
        <f>Tracking_SI[[#This Row],[Chênh lệch 
(thừa so với ĐH)]]/Tracking_SI[[#This Row],[Số  lượng trên ĐH]]</f>
        <v>#DIV/0!</v>
      </c>
    </row>
    <row r="757" spans="1:13">
      <c r="A757" s="57"/>
      <c r="B757" s="1" t="s">
        <v>182</v>
      </c>
      <c r="C757" s="46"/>
      <c r="D757" s="108">
        <v>2803</v>
      </c>
      <c r="E757" s="332" t="s">
        <v>32</v>
      </c>
      <c r="F757" s="27"/>
      <c r="G757" s="26"/>
      <c r="H757" s="164">
        <v>3522</v>
      </c>
      <c r="I757" s="32"/>
      <c r="J757" s="24"/>
      <c r="K757" s="130"/>
      <c r="L757" s="24"/>
      <c r="M757" s="323" t="e">
        <f>Tracking_SI[[#This Row],[Chênh lệch 
(thừa so với ĐH)]]/Tracking_SI[[#This Row],[Số  lượng trên ĐH]]</f>
        <v>#DIV/0!</v>
      </c>
    </row>
    <row r="758" spans="1:13">
      <c r="A758" s="57"/>
      <c r="B758" s="1" t="s">
        <v>182</v>
      </c>
      <c r="C758" s="46"/>
      <c r="D758" s="108">
        <v>45948</v>
      </c>
      <c r="E758" s="332" t="s">
        <v>32</v>
      </c>
      <c r="F758" s="27"/>
      <c r="G758" s="26"/>
      <c r="H758" s="164">
        <v>3098</v>
      </c>
      <c r="I758" s="32"/>
      <c r="J758" s="24"/>
      <c r="K758" s="130"/>
      <c r="L758" s="24"/>
      <c r="M758" s="323" t="e">
        <f>Tracking_SI[[#This Row],[Chênh lệch 
(thừa so với ĐH)]]/Tracking_SI[[#This Row],[Số  lượng trên ĐH]]</f>
        <v>#DIV/0!</v>
      </c>
    </row>
    <row r="759" spans="1:13">
      <c r="A759" s="57"/>
      <c r="B759" s="1" t="s">
        <v>182</v>
      </c>
      <c r="C759" s="46"/>
      <c r="D759" s="108"/>
      <c r="E759" s="27"/>
      <c r="F759" s="27"/>
      <c r="G759" s="26"/>
      <c r="H759" s="164"/>
      <c r="I759" s="32"/>
      <c r="J759" s="32"/>
      <c r="K759" s="133"/>
      <c r="L759" s="32"/>
      <c r="M759" s="323" t="e">
        <f>Tracking_SI[[#This Row],[Chênh lệch 
(thừa so với ĐH)]]/Tracking_SI[[#This Row],[Số  lượng trên ĐH]]</f>
        <v>#DIV/0!</v>
      </c>
    </row>
    <row r="760" spans="1:13">
      <c r="A760" s="58" t="s">
        <v>106</v>
      </c>
      <c r="B760" s="90"/>
      <c r="C760" s="91" t="s">
        <v>98</v>
      </c>
      <c r="D760" s="121"/>
      <c r="E760" s="99"/>
      <c r="F760" s="99"/>
      <c r="G760" s="92"/>
      <c r="H760" s="92"/>
      <c r="I760" s="94"/>
      <c r="J760" s="100"/>
      <c r="K760" s="145"/>
      <c r="L760" s="94"/>
      <c r="M760" s="323" t="e">
        <f>Tracking_SI[[#This Row],[Chênh lệch 
(thừa so với ĐH)]]/Tracking_SI[[#This Row],[Số  lượng trên ĐH]]</f>
        <v>#DIV/0!</v>
      </c>
    </row>
    <row r="761" spans="1:13">
      <c r="A761" s="58" t="s">
        <v>115</v>
      </c>
      <c r="C761" s="48"/>
      <c r="D761" s="183">
        <v>45598</v>
      </c>
      <c r="E761" s="194" t="s">
        <v>99</v>
      </c>
      <c r="F761" s="28" t="s">
        <v>8</v>
      </c>
      <c r="G761" s="149">
        <v>5881</v>
      </c>
      <c r="H761" s="172">
        <f>SUM(H762:H764)</f>
        <v>0</v>
      </c>
      <c r="I761" s="32">
        <f>G761-H761</f>
        <v>5881</v>
      </c>
      <c r="J761" s="149">
        <v>31500</v>
      </c>
      <c r="K761" s="130" t="s">
        <v>215</v>
      </c>
      <c r="L761" s="29"/>
      <c r="M761" s="323">
        <f>Tracking_SI[[#This Row],[Chênh lệch 
(thừa so với ĐH)]]/Tracking_SI[[#This Row],[Số  lượng trên ĐH]]</f>
        <v>1</v>
      </c>
    </row>
    <row r="762" spans="1:13">
      <c r="A762" s="58"/>
      <c r="C762" s="48"/>
      <c r="D762" s="116"/>
      <c r="F762" s="25"/>
      <c r="G762" s="31"/>
      <c r="H762" s="166"/>
      <c r="I762" s="32"/>
      <c r="J762" s="32"/>
      <c r="K762" s="133"/>
      <c r="L762" s="32"/>
      <c r="M762" s="323" t="e">
        <f>Tracking_SI[[#This Row],[Chênh lệch 
(thừa so với ĐH)]]/Tracking_SI[[#This Row],[Số  lượng trên ĐH]]</f>
        <v>#DIV/0!</v>
      </c>
    </row>
    <row r="763" spans="1:13">
      <c r="A763" s="58"/>
      <c r="C763" s="48"/>
      <c r="D763" s="116"/>
      <c r="F763" s="25"/>
      <c r="G763" s="31"/>
      <c r="H763" s="166"/>
      <c r="I763" s="32"/>
      <c r="J763" s="32"/>
      <c r="K763" s="133"/>
      <c r="L763" s="32"/>
      <c r="M763" s="323" t="e">
        <f>Tracking_SI[[#This Row],[Chênh lệch 
(thừa so với ĐH)]]/Tracking_SI[[#This Row],[Số  lượng trên ĐH]]</f>
        <v>#DIV/0!</v>
      </c>
    </row>
    <row r="764" spans="1:13">
      <c r="A764" s="58"/>
      <c r="C764" s="48"/>
      <c r="D764" s="116"/>
      <c r="F764" s="25"/>
      <c r="G764" s="31"/>
      <c r="H764" s="166"/>
      <c r="I764" s="32"/>
      <c r="J764" s="32"/>
      <c r="K764" s="133"/>
      <c r="L764" s="32"/>
      <c r="M764" s="323" t="e">
        <f>Tracking_SI[[#This Row],[Chênh lệch 
(thừa so với ĐH)]]/Tracking_SI[[#This Row],[Số  lượng trên ĐH]]</f>
        <v>#DIV/0!</v>
      </c>
    </row>
    <row r="765" spans="1:13">
      <c r="A765" s="58" t="s">
        <v>106</v>
      </c>
      <c r="B765" s="90"/>
      <c r="C765" s="91" t="s">
        <v>100</v>
      </c>
      <c r="D765" s="121"/>
      <c r="E765" s="92"/>
      <c r="F765" s="99"/>
      <c r="G765" s="96"/>
      <c r="H765" s="96"/>
      <c r="I765" s="94"/>
      <c r="J765" s="94"/>
      <c r="K765" s="143"/>
      <c r="L765" s="94"/>
      <c r="M765" s="323" t="e">
        <f>Tracking_SI[[#This Row],[Chênh lệch 
(thừa so với ĐH)]]/Tracking_SI[[#This Row],[Số  lượng trên ĐH]]</f>
        <v>#DIV/0!</v>
      </c>
    </row>
    <row r="766" spans="1:13">
      <c r="A766" s="58"/>
      <c r="C766" s="48"/>
      <c r="D766" s="116"/>
      <c r="F766" s="25"/>
      <c r="G766" s="31"/>
      <c r="H766" s="166"/>
      <c r="I766" s="32"/>
      <c r="J766" s="32"/>
      <c r="K766" s="133"/>
      <c r="L766" s="32"/>
      <c r="M766" s="323" t="e">
        <f>Tracking_SI[[#This Row],[Chênh lệch 
(thừa so với ĐH)]]/Tracking_SI[[#This Row],[Số  lượng trên ĐH]]</f>
        <v>#DIV/0!</v>
      </c>
    </row>
    <row r="767" spans="1:13">
      <c r="A767" s="58"/>
      <c r="C767" s="48"/>
      <c r="D767" s="116"/>
      <c r="F767" s="25"/>
      <c r="G767" s="31"/>
      <c r="H767" s="166"/>
      <c r="I767" s="32"/>
      <c r="J767" s="32"/>
      <c r="K767" s="133"/>
      <c r="L767" s="32"/>
      <c r="M767" s="323" t="e">
        <f>Tracking_SI[[#This Row],[Chênh lệch 
(thừa so với ĐH)]]/Tracking_SI[[#This Row],[Số  lượng trên ĐH]]</f>
        <v>#DIV/0!</v>
      </c>
    </row>
    <row r="768" spans="1:13">
      <c r="A768" s="58"/>
      <c r="C768" s="48"/>
      <c r="D768" s="116"/>
      <c r="F768" s="25"/>
      <c r="G768" s="31"/>
      <c r="H768" s="166"/>
      <c r="I768" s="32"/>
      <c r="J768" s="32"/>
      <c r="K768" s="133"/>
      <c r="L768" s="32"/>
      <c r="M768" s="323" t="e">
        <f>Tracking_SI[[#This Row],[Chênh lệch 
(thừa so với ĐH)]]/Tracking_SI[[#This Row],[Số  lượng trên ĐH]]</f>
        <v>#DIV/0!</v>
      </c>
    </row>
    <row r="769" spans="1:13">
      <c r="A769" s="58" t="s">
        <v>106</v>
      </c>
      <c r="B769" s="90"/>
      <c r="C769" s="95" t="s">
        <v>101</v>
      </c>
      <c r="D769" s="121"/>
      <c r="E769" s="92"/>
      <c r="F769" s="99"/>
      <c r="G769" s="96"/>
      <c r="H769" s="96"/>
      <c r="I769" s="94"/>
      <c r="J769" s="94"/>
      <c r="K769" s="143"/>
      <c r="L769" s="94"/>
      <c r="M769" s="323" t="e">
        <f>Tracking_SI[[#This Row],[Chênh lệch 
(thừa so với ĐH)]]/Tracking_SI[[#This Row],[Số  lượng trên ĐH]]</f>
        <v>#DIV/0!</v>
      </c>
    </row>
    <row r="770" spans="1:13">
      <c r="A770" s="58" t="s">
        <v>115</v>
      </c>
      <c r="C770" s="48"/>
      <c r="D770" s="111">
        <v>45630</v>
      </c>
      <c r="E770" s="25" t="s">
        <v>102</v>
      </c>
      <c r="F770" s="25" t="s">
        <v>8</v>
      </c>
      <c r="G770" s="24">
        <v>3203</v>
      </c>
      <c r="H770" s="177">
        <f>SUM(H771:H773)</f>
        <v>3439</v>
      </c>
      <c r="I770" s="187">
        <f>G770-H770</f>
        <v>-236</v>
      </c>
      <c r="J770" s="24">
        <v>32000</v>
      </c>
      <c r="K770" s="127" t="s">
        <v>116</v>
      </c>
      <c r="L770" s="24"/>
      <c r="M770" s="323">
        <f>Tracking_SI[[#This Row],[Chênh lệch 
(thừa so với ĐH)]]/Tracking_SI[[#This Row],[Số  lượng trên ĐH]]</f>
        <v>-7.3680924133624731E-2</v>
      </c>
    </row>
    <row r="771" spans="1:13">
      <c r="A771" s="58"/>
      <c r="C771" s="48"/>
      <c r="D771" s="116">
        <v>45672</v>
      </c>
      <c r="E771" s="30">
        <v>59</v>
      </c>
      <c r="F771" s="25"/>
      <c r="G771" s="31"/>
      <c r="H771" s="166">
        <v>3439</v>
      </c>
      <c r="I771" s="189"/>
      <c r="J771" s="32"/>
      <c r="K771" s="133"/>
      <c r="L771" s="32"/>
      <c r="M771" s="323" t="e">
        <f>Tracking_SI[[#This Row],[Chênh lệch 
(thừa so với ĐH)]]/Tracking_SI[[#This Row],[Số  lượng trên ĐH]]</f>
        <v>#DIV/0!</v>
      </c>
    </row>
    <row r="772" spans="1:13">
      <c r="A772" s="58"/>
      <c r="C772" s="48"/>
      <c r="D772" s="116"/>
      <c r="F772" s="25"/>
      <c r="G772" s="31"/>
      <c r="H772" s="166"/>
      <c r="I772" s="187"/>
      <c r="J772" s="32"/>
      <c r="K772" s="133"/>
      <c r="L772" s="32"/>
      <c r="M772" s="323" t="e">
        <f>Tracking_SI[[#This Row],[Chênh lệch 
(thừa so với ĐH)]]/Tracking_SI[[#This Row],[Số  lượng trên ĐH]]</f>
        <v>#DIV/0!</v>
      </c>
    </row>
    <row r="773" spans="1:13">
      <c r="A773" s="58"/>
      <c r="C773" s="48"/>
      <c r="D773" s="116"/>
      <c r="F773" s="25"/>
      <c r="G773" s="31"/>
      <c r="H773" s="166"/>
      <c r="I773" s="187"/>
      <c r="J773" s="32"/>
      <c r="K773" s="133"/>
      <c r="L773" s="32"/>
      <c r="M773" s="323" t="e">
        <f>Tracking_SI[[#This Row],[Chênh lệch 
(thừa so với ĐH)]]/Tracking_SI[[#This Row],[Số  lượng trên ĐH]]</f>
        <v>#DIV/0!</v>
      </c>
    </row>
    <row r="774" spans="1:13">
      <c r="A774" s="58"/>
      <c r="C774" s="48"/>
      <c r="D774" s="116"/>
      <c r="F774" s="25"/>
      <c r="G774" s="31"/>
      <c r="H774" s="166"/>
      <c r="I774" s="189"/>
      <c r="J774" s="32"/>
      <c r="K774" s="133"/>
      <c r="L774" s="32"/>
      <c r="M774" s="323" t="e">
        <f>Tracking_SI[[#This Row],[Chênh lệch 
(thừa so với ĐH)]]/Tracking_SI[[#This Row],[Số  lượng trên ĐH]]</f>
        <v>#DIV/0!</v>
      </c>
    </row>
    <row r="775" spans="1:13" ht="17.399999999999999">
      <c r="A775" s="58" t="s">
        <v>106</v>
      </c>
      <c r="B775" s="101"/>
      <c r="C775" s="102" t="s">
        <v>103</v>
      </c>
      <c r="D775" s="122"/>
      <c r="E775" s="103"/>
      <c r="F775" s="103"/>
      <c r="G775" s="104"/>
      <c r="H775" s="104"/>
      <c r="I775" s="187"/>
      <c r="J775" s="105"/>
      <c r="K775" s="146"/>
      <c r="L775" s="105"/>
      <c r="M775" s="323" t="e">
        <f>Tracking_SI[[#This Row],[Chênh lệch 
(thừa so với ĐH)]]/Tracking_SI[[#This Row],[Số  lượng trên ĐH]]</f>
        <v>#DIV/0!</v>
      </c>
    </row>
    <row r="776" spans="1:13">
      <c r="A776" s="58" t="s">
        <v>115</v>
      </c>
      <c r="C776" s="46"/>
      <c r="D776" s="183">
        <v>45509</v>
      </c>
      <c r="E776" s="194" t="s">
        <v>104</v>
      </c>
      <c r="F776" s="28" t="s">
        <v>105</v>
      </c>
      <c r="G776" s="149">
        <v>4857</v>
      </c>
      <c r="H776" s="172">
        <f>SUM(H777:H780)</f>
        <v>0</v>
      </c>
      <c r="I776" s="199">
        <f>G776-H776</f>
        <v>4857</v>
      </c>
      <c r="J776" s="150">
        <v>4500</v>
      </c>
      <c r="K776" s="130" t="s">
        <v>215</v>
      </c>
      <c r="L776" s="36"/>
      <c r="M776" s="323">
        <f>Tracking_SI[[#This Row],[Chênh lệch 
(thừa so với ĐH)]]/Tracking_SI[[#This Row],[Số  lượng trên ĐH]]</f>
        <v>1</v>
      </c>
    </row>
    <row r="777" spans="1:13">
      <c r="A777" s="57"/>
      <c r="C777" s="46"/>
      <c r="D777" s="116"/>
      <c r="F777" s="30"/>
      <c r="G777" s="30"/>
      <c r="H777" s="166"/>
      <c r="I777" s="187"/>
      <c r="J777" s="37"/>
      <c r="K777" s="139"/>
      <c r="L777" s="37"/>
      <c r="M777" s="323" t="e">
        <f>Tracking_SI[[#This Row],[Chênh lệch 
(thừa so với ĐH)]]/Tracking_SI[[#This Row],[Số  lượng trên ĐH]]</f>
        <v>#DIV/0!</v>
      </c>
    </row>
    <row r="778" spans="1:13">
      <c r="A778" s="57"/>
      <c r="C778" s="46"/>
      <c r="D778" s="116"/>
      <c r="F778" s="30"/>
      <c r="G778" s="30"/>
      <c r="H778" s="166"/>
      <c r="I778" s="187"/>
      <c r="J778" s="37"/>
      <c r="K778" s="139"/>
      <c r="L778" s="37"/>
      <c r="M778" s="323" t="e">
        <f>Tracking_SI[[#This Row],[Chênh lệch 
(thừa so với ĐH)]]/Tracking_SI[[#This Row],[Số  lượng trên ĐH]]</f>
        <v>#DIV/0!</v>
      </c>
    </row>
    <row r="779" spans="1:13">
      <c r="A779" s="57"/>
      <c r="C779" s="46"/>
      <c r="D779" s="116"/>
      <c r="F779" s="30"/>
      <c r="G779" s="30"/>
      <c r="H779" s="166"/>
      <c r="I779" s="187"/>
      <c r="J779" s="37"/>
      <c r="K779" s="139"/>
      <c r="L779" s="37"/>
      <c r="M779" s="323" t="e">
        <f>Tracking_SI[[#This Row],[Chênh lệch 
(thừa so với ĐH)]]/Tracking_SI[[#This Row],[Số  lượng trên ĐH]]</f>
        <v>#DIV/0!</v>
      </c>
    </row>
    <row r="780" spans="1:13">
      <c r="A780" s="57"/>
      <c r="C780" s="46"/>
      <c r="D780" s="116"/>
      <c r="F780" s="30"/>
      <c r="G780" s="30"/>
      <c r="H780" s="166"/>
      <c r="I780" s="187"/>
      <c r="J780" s="37"/>
      <c r="K780" s="139"/>
      <c r="L780" s="37"/>
      <c r="M780" s="323" t="e">
        <f>Tracking_SI[[#This Row],[Chênh lệch 
(thừa so với ĐH)]]/Tracking_SI[[#This Row],[Số  lượng trên ĐH]]</f>
        <v>#DIV/0!</v>
      </c>
    </row>
    <row r="781" spans="1:13">
      <c r="A781" s="58" t="s">
        <v>106</v>
      </c>
      <c r="B781" s="277" t="s">
        <v>159</v>
      </c>
      <c r="C781" s="278" t="s">
        <v>160</v>
      </c>
      <c r="D781" s="279"/>
      <c r="E781" s="280"/>
      <c r="F781" s="75"/>
      <c r="G781" s="281"/>
      <c r="H781" s="282"/>
      <c r="I781" s="283"/>
      <c r="J781" s="284"/>
      <c r="K781" s="285"/>
      <c r="L781" s="286"/>
      <c r="M781" s="323" t="e">
        <f>Tracking_SI[[#This Row],[Chênh lệch 
(thừa so với ĐH)]]/Tracking_SI[[#This Row],[Số  lượng trên ĐH]]</f>
        <v>#DIV/0!</v>
      </c>
    </row>
    <row r="782" spans="1:13">
      <c r="A782" s="57"/>
      <c r="B782" s="1" t="s">
        <v>159</v>
      </c>
      <c r="C782" s="152"/>
      <c r="D782" s="288">
        <v>45840</v>
      </c>
      <c r="E782" s="160" t="s">
        <v>161</v>
      </c>
      <c r="F782" s="30"/>
      <c r="G782" s="160">
        <v>1300</v>
      </c>
      <c r="H782" s="287">
        <f>SUM(H783)</f>
        <v>1300</v>
      </c>
      <c r="I782" s="212">
        <f>Tracking_SI[[#This Row],[Số  lượng trên ĐH]]-Tracking_SI[[#This Row],[Số  lượng giao]]</f>
        <v>0</v>
      </c>
      <c r="J782" s="162">
        <v>34000</v>
      </c>
      <c r="K782" s="224"/>
      <c r="L782" s="30"/>
      <c r="M782" s="323">
        <f>Tracking_SI[[#This Row],[Chênh lệch 
(thừa so với ĐH)]]/Tracking_SI[[#This Row],[Số  lượng trên ĐH]]</f>
        <v>0</v>
      </c>
    </row>
    <row r="783" spans="1:13">
      <c r="A783" s="57"/>
      <c r="B783" s="1" t="s">
        <v>159</v>
      </c>
      <c r="C783" s="294"/>
      <c r="D783" s="108">
        <v>45841</v>
      </c>
      <c r="E783" s="27" t="s">
        <v>161</v>
      </c>
      <c r="F783" s="31">
        <v>1300</v>
      </c>
      <c r="G783" s="26"/>
      <c r="H783" s="290">
        <v>1300</v>
      </c>
      <c r="I783" s="295"/>
      <c r="J783" s="139"/>
      <c r="K783" s="139"/>
      <c r="L783" s="30"/>
      <c r="M783" s="323" t="e">
        <f>Tracking_SI[[#This Row],[Chênh lệch 
(thừa so với ĐH)]]/Tracking_SI[[#This Row],[Số  lượng trên ĐH]]</f>
        <v>#DIV/0!</v>
      </c>
    </row>
    <row r="784" spans="1:13">
      <c r="A784" s="57"/>
      <c r="B784" s="1" t="s">
        <v>159</v>
      </c>
      <c r="C784" s="152"/>
      <c r="D784" s="116"/>
      <c r="F784" s="30"/>
      <c r="G784" s="22"/>
      <c r="H784" s="291"/>
      <c r="I784" s="187"/>
      <c r="J784" s="37"/>
      <c r="K784" s="139"/>
      <c r="L784" s="292"/>
      <c r="M784" s="323" t="e">
        <f>Tracking_SI[[#This Row],[Chênh lệch 
(thừa so với ĐH)]]/Tracking_SI[[#This Row],[Số  lượng trên ĐH]]</f>
        <v>#DIV/0!</v>
      </c>
    </row>
    <row r="785" spans="1:13">
      <c r="A785" s="57"/>
      <c r="B785" s="1" t="s">
        <v>159</v>
      </c>
      <c r="C785" s="152"/>
      <c r="D785" s="116"/>
      <c r="E785" s="289"/>
      <c r="F785" s="30"/>
      <c r="G785" s="31"/>
      <c r="H785" s="31"/>
      <c r="I785" s="189"/>
      <c r="J785" s="37"/>
      <c r="K785" s="139"/>
      <c r="L785" s="293"/>
      <c r="M785" s="327" t="e">
        <f>Tracking_SI[[#This Row],[Chênh lệch 
(thừa so với ĐH)]]/Tracking_SI[[#This Row],[Số  lượng trên ĐH]]</f>
        <v>#DIV/0!</v>
      </c>
    </row>
    <row r="786" spans="1:13">
      <c r="A786" s="57"/>
      <c r="B786" s="1" t="s">
        <v>159</v>
      </c>
      <c r="C786" s="152"/>
      <c r="D786" s="116"/>
      <c r="E786" s="289"/>
      <c r="F786" s="30"/>
      <c r="G786" s="31"/>
      <c r="H786" s="31"/>
      <c r="I786" s="187"/>
      <c r="J786" s="37"/>
      <c r="K786" s="139"/>
      <c r="L786" s="293"/>
      <c r="M786" s="327" t="e">
        <f>Tracking_SI[[#This Row],[Chênh lệch 
(thừa so với ĐH)]]/Tracking_SI[[#This Row],[Số  lượng trên ĐH]]</f>
        <v>#DIV/0!</v>
      </c>
    </row>
    <row r="787" spans="1:13">
      <c r="A787" s="57"/>
      <c r="B787" s="1" t="s">
        <v>159</v>
      </c>
      <c r="C787" s="152"/>
      <c r="D787" s="116"/>
      <c r="E787" s="289"/>
      <c r="F787" s="30"/>
      <c r="G787" s="31"/>
      <c r="H787" s="31"/>
      <c r="I787" s="187"/>
      <c r="J787" s="37"/>
      <c r="K787" s="139"/>
      <c r="L787" s="293"/>
      <c r="M787" s="327" t="e">
        <f>Tracking_SI[[#This Row],[Chênh lệch 
(thừa so với ĐH)]]/Tracking_SI[[#This Row],[Số  lượng trên ĐH]]</f>
        <v>#DIV/0!</v>
      </c>
    </row>
    <row r="788" spans="1:13">
      <c r="A788" s="57"/>
      <c r="B788" s="1" t="s">
        <v>159</v>
      </c>
      <c r="C788" s="152"/>
      <c r="D788" s="116"/>
      <c r="E788" s="296"/>
      <c r="F788" s="30"/>
      <c r="G788" s="31"/>
      <c r="H788" s="31"/>
      <c r="I788" s="187"/>
      <c r="J788" s="37"/>
      <c r="K788" s="139"/>
      <c r="L788" s="293"/>
      <c r="M788" s="323" t="e">
        <f>Tracking_SI[[#This Row],[Chênh lệch 
(thừa so với ĐH)]]/Tracking_SI[[#This Row],[Số  lượng trên ĐH]]</f>
        <v>#DIV/0!</v>
      </c>
    </row>
    <row r="789" spans="1:13">
      <c r="A789" s="57"/>
      <c r="B789" s="1" t="s">
        <v>159</v>
      </c>
      <c r="C789" s="152"/>
      <c r="D789" s="116"/>
      <c r="E789" s="297"/>
      <c r="F789" s="30"/>
      <c r="G789" s="31"/>
      <c r="H789" s="31"/>
      <c r="I789" s="187"/>
      <c r="J789" s="37"/>
      <c r="K789" s="139"/>
      <c r="L789" s="293"/>
      <c r="M789" s="323" t="e">
        <f>Tracking_SI[[#This Row],[Chênh lệch 
(thừa so với ĐH)]]/Tracking_SI[[#This Row],[Số  lượng trên ĐH]]</f>
        <v>#DIV/0!</v>
      </c>
    </row>
    <row r="790" spans="1:13">
      <c r="A790" s="57"/>
      <c r="B790" s="1" t="s">
        <v>159</v>
      </c>
      <c r="C790" s="152"/>
      <c r="D790" s="116"/>
      <c r="E790" s="297"/>
      <c r="F790" s="30"/>
      <c r="G790" s="31"/>
      <c r="H790" s="31"/>
      <c r="I790" s="187"/>
      <c r="J790" s="37"/>
      <c r="K790" s="139"/>
      <c r="L790" s="293"/>
      <c r="M790" s="323" t="e">
        <f>Tracking_SI[[#This Row],[Chênh lệch 
(thừa so với ĐH)]]/Tracking_SI[[#This Row],[Số  lượng trên ĐH]]</f>
        <v>#DIV/0!</v>
      </c>
    </row>
    <row r="791" spans="1:13">
      <c r="D791" s="273"/>
      <c r="F791" s="17"/>
      <c r="G791" s="19"/>
      <c r="H791" s="187"/>
      <c r="I791" s="270"/>
      <c r="J791" s="271"/>
      <c r="K791" s="272"/>
    </row>
    <row r="792" spans="1:13">
      <c r="D792" s="273"/>
      <c r="F792" s="17"/>
      <c r="G792" s="19"/>
      <c r="H792" s="187"/>
      <c r="I792" s="270"/>
      <c r="J792" s="271"/>
      <c r="K792" s="272"/>
    </row>
    <row r="793" spans="1:13">
      <c r="F793" s="17"/>
      <c r="G793" s="19"/>
      <c r="H793" s="187"/>
      <c r="I793" s="270"/>
      <c r="J793" s="271"/>
      <c r="K793" s="272"/>
    </row>
    <row r="794" spans="1:13">
      <c r="F794" s="275"/>
      <c r="G794" s="275"/>
      <c r="H794" s="187"/>
      <c r="I794" s="275"/>
      <c r="J794" s="276"/>
      <c r="K794" s="275"/>
    </row>
    <row r="795" spans="1:13">
      <c r="H795" s="187"/>
    </row>
    <row r="796" spans="1:13">
      <c r="H796" s="187"/>
    </row>
    <row r="797" spans="1:13">
      <c r="H797" s="187"/>
    </row>
    <row r="798" spans="1:13" ht="15.6">
      <c r="D798" s="844"/>
      <c r="E798" s="844"/>
      <c r="H798" s="187"/>
    </row>
    <row r="799" spans="1:13">
      <c r="D799" s="51"/>
      <c r="E799" s="52"/>
      <c r="H799" s="187"/>
      <c r="I799" s="380"/>
    </row>
    <row r="800" spans="1:13">
      <c r="D800" s="216"/>
      <c r="E800" s="53"/>
      <c r="H800" s="190"/>
    </row>
    <row r="801" spans="4:8">
      <c r="D801" s="216"/>
      <c r="E801" s="53"/>
      <c r="H801" s="187"/>
    </row>
    <row r="802" spans="4:8">
      <c r="D802" s="216"/>
      <c r="E802" s="53"/>
      <c r="H802" s="189"/>
    </row>
    <row r="803" spans="4:8">
      <c r="D803" s="216"/>
      <c r="E803" s="53"/>
      <c r="H803" s="187"/>
    </row>
    <row r="804" spans="4:8">
      <c r="D804" s="216"/>
      <c r="E804" s="53"/>
      <c r="F804" s="20"/>
      <c r="H804" s="187"/>
    </row>
    <row r="805" spans="4:8">
      <c r="D805" s="216"/>
      <c r="E805" s="53"/>
      <c r="H805" s="187"/>
    </row>
    <row r="806" spans="4:8">
      <c r="D806" s="216"/>
      <c r="E806" s="53"/>
    </row>
    <row r="807" spans="4:8">
      <c r="D807" s="216"/>
      <c r="E807" s="53"/>
    </row>
    <row r="808" spans="4:8">
      <c r="D808" s="216"/>
      <c r="E808" s="53"/>
    </row>
    <row r="809" spans="4:8">
      <c r="D809" s="216"/>
      <c r="E809" s="53"/>
    </row>
    <row r="810" spans="4:8">
      <c r="D810" s="216"/>
      <c r="E810" s="43"/>
    </row>
    <row r="812" spans="4:8">
      <c r="D812" s="216"/>
    </row>
    <row r="813" spans="4:8">
      <c r="D813" s="217"/>
      <c r="E813" s="54"/>
    </row>
    <row r="814" spans="4:8">
      <c r="D814" s="217"/>
      <c r="E814" s="54"/>
    </row>
    <row r="815" spans="4:8">
      <c r="D815" s="217"/>
      <c r="E815" s="54"/>
      <c r="F815" s="14"/>
    </row>
    <row r="816" spans="4:8">
      <c r="D816" s="218"/>
      <c r="E816" s="55"/>
    </row>
    <row r="817" spans="4:5">
      <c r="D817" s="218"/>
      <c r="E817" s="55"/>
    </row>
    <row r="818" spans="4:5">
      <c r="E818" s="54"/>
    </row>
    <row r="819" spans="4:5">
      <c r="E819" s="54"/>
    </row>
    <row r="820" spans="4:5">
      <c r="E820" s="54"/>
    </row>
    <row r="821" spans="4:5">
      <c r="E821" s="54"/>
    </row>
  </sheetData>
  <mergeCells count="2">
    <mergeCell ref="D798:E798"/>
    <mergeCell ref="A1:K1"/>
  </mergeCells>
  <phoneticPr fontId="19" type="noConversion"/>
  <conditionalFormatting sqref="B755:B759">
    <cfRule type="uniqueValues" dxfId="300" priority="113"/>
  </conditionalFormatting>
  <conditionalFormatting sqref="D3:D224">
    <cfRule type="timePeriod" dxfId="299" priority="1" stopIfTrue="1" timePeriod="today">
      <formula>FLOOR(D3,1)=TODAY()</formula>
    </cfRule>
  </conditionalFormatting>
  <conditionalFormatting sqref="D226:D381">
    <cfRule type="timePeriod" dxfId="298" priority="5" stopIfTrue="1" timePeriod="today">
      <formula>FLOOR(D226,1)=TODAY()</formula>
    </cfRule>
  </conditionalFormatting>
  <conditionalFormatting sqref="D385">
    <cfRule type="timePeriod" dxfId="297" priority="38" stopIfTrue="1" timePeriod="today">
      <formula>FLOOR(D385,1)=TODAY()</formula>
    </cfRule>
  </conditionalFormatting>
  <conditionalFormatting sqref="D392:D409">
    <cfRule type="timePeriod" dxfId="296" priority="108" stopIfTrue="1" timePeriod="today">
      <formula>FLOOR(D392,1)=TODAY()</formula>
    </cfRule>
  </conditionalFormatting>
  <conditionalFormatting sqref="D411:D532">
    <cfRule type="timePeriod" dxfId="295" priority="2" stopIfTrue="1" timePeriod="today">
      <formula>FLOOR(D411,1)=TODAY()</formula>
    </cfRule>
  </conditionalFormatting>
  <conditionalFormatting sqref="D585:D790">
    <cfRule type="timePeriod" dxfId="294" priority="44" stopIfTrue="1" timePeriod="today">
      <formula>FLOOR(D585,1)=TODAY()</formula>
    </cfRule>
  </conditionalFormatting>
  <conditionalFormatting sqref="D382:E384 D386:E391 D536:D581">
    <cfRule type="timePeriod" dxfId="293" priority="166" stopIfTrue="1" timePeriod="today">
      <formula>FLOOR(D382,1)=TODAY()</formula>
    </cfRule>
  </conditionalFormatting>
  <conditionalFormatting sqref="D535:K535">
    <cfRule type="timePeriod" dxfId="292" priority="156" timePeriod="today">
      <formula>FLOOR(D535,1)=TODAY()</formula>
    </cfRule>
  </conditionalFormatting>
  <conditionalFormatting sqref="E278">
    <cfRule type="cellIs" dxfId="291" priority="49" operator="lessThan">
      <formula>-1</formula>
    </cfRule>
  </conditionalFormatting>
  <conditionalFormatting sqref="E283">
    <cfRule type="cellIs" dxfId="290" priority="20" operator="lessThan">
      <formula>-1</formula>
    </cfRule>
  </conditionalFormatting>
  <conditionalFormatting sqref="E287">
    <cfRule type="cellIs" dxfId="289" priority="8" operator="lessThan">
      <formula>-1</formula>
    </cfRule>
  </conditionalFormatting>
  <conditionalFormatting sqref="E378:E380">
    <cfRule type="timePeriod" dxfId="288" priority="65" stopIfTrue="1" timePeriod="today">
      <formula>FLOOR(E378,1)=TODAY()</formula>
    </cfRule>
  </conditionalFormatting>
  <conditionalFormatting sqref="E381">
    <cfRule type="cellIs" dxfId="287" priority="47" operator="lessThan">
      <formula>-1</formula>
    </cfRule>
  </conditionalFormatting>
  <conditionalFormatting sqref="E385">
    <cfRule type="cellIs" dxfId="286" priority="37" operator="lessThan">
      <formula>-1</formula>
    </cfRule>
  </conditionalFormatting>
  <conditionalFormatting sqref="E503">
    <cfRule type="timePeriod" dxfId="285" priority="48" stopIfTrue="1" timePeriod="today">
      <formula>FLOOR(E503,1)=TODAY()</formula>
    </cfRule>
  </conditionalFormatting>
  <conditionalFormatting sqref="E574">
    <cfRule type="timePeriod" dxfId="284" priority="144" stopIfTrue="1" timePeriod="today">
      <formula>FLOOR(E574,1)=TODAY()</formula>
    </cfRule>
  </conditionalFormatting>
  <conditionalFormatting sqref="E189:F189 J189:K189">
    <cfRule type="timePeriod" dxfId="283" priority="140" stopIfTrue="1" timePeriod="today">
      <formula>FLOOR(E189,1)=TODAY()</formula>
    </cfRule>
  </conditionalFormatting>
  <conditionalFormatting sqref="E377:F377 H377:H379">
    <cfRule type="cellIs" dxfId="282" priority="67" operator="lessThan">
      <formula>-1</formula>
    </cfRule>
  </conditionalFormatting>
  <conditionalFormatting sqref="F381 H381">
    <cfRule type="cellIs" dxfId="281" priority="55" operator="lessThan">
      <formula>-1</formula>
    </cfRule>
  </conditionalFormatting>
  <conditionalFormatting sqref="F385">
    <cfRule type="cellIs" dxfId="280" priority="34" operator="lessThan">
      <formula>-1</formula>
    </cfRule>
  </conditionalFormatting>
  <conditionalFormatting sqref="F467">
    <cfRule type="cellIs" dxfId="279" priority="22" operator="lessThan">
      <formula>-1</formula>
    </cfRule>
  </conditionalFormatting>
  <conditionalFormatting sqref="F652">
    <cfRule type="cellIs" dxfId="278" priority="117" operator="lessThan">
      <formula>-1</formula>
    </cfRule>
  </conditionalFormatting>
  <conditionalFormatting sqref="G377">
    <cfRule type="cellIs" dxfId="277" priority="64" operator="lessThan">
      <formula>-1</formula>
    </cfRule>
  </conditionalFormatting>
  <conditionalFormatting sqref="G381">
    <cfRule type="cellIs" dxfId="276" priority="54" operator="lessThan">
      <formula>-1</formula>
    </cfRule>
  </conditionalFormatting>
  <conditionalFormatting sqref="G385">
    <cfRule type="cellIs" dxfId="275" priority="35" operator="lessThan">
      <formula>-1</formula>
    </cfRule>
  </conditionalFormatting>
  <conditionalFormatting sqref="G455">
    <cfRule type="cellIs" dxfId="274" priority="136" operator="lessThan">
      <formula>-1</formula>
    </cfRule>
  </conditionalFormatting>
  <conditionalFormatting sqref="G463">
    <cfRule type="cellIs" dxfId="273" priority="59" operator="lessThan">
      <formula>-1</formula>
    </cfRule>
  </conditionalFormatting>
  <conditionalFormatting sqref="G515">
    <cfRule type="cellIs" dxfId="272" priority="109" operator="lessThan">
      <formula>-1</formula>
    </cfRule>
  </conditionalFormatting>
  <conditionalFormatting sqref="G528">
    <cfRule type="cellIs" dxfId="271" priority="154" operator="lessThan">
      <formula>-1</formula>
    </cfRule>
  </conditionalFormatting>
  <conditionalFormatting sqref="G647">
    <cfRule type="cellIs" dxfId="270" priority="120" operator="lessThan">
      <formula>-1</formula>
    </cfRule>
  </conditionalFormatting>
  <conditionalFormatting sqref="G723 K723">
    <cfRule type="cellIs" dxfId="269" priority="98" operator="lessThan">
      <formula>-1</formula>
    </cfRule>
  </conditionalFormatting>
  <conditionalFormatting sqref="H74">
    <cfRule type="cellIs" dxfId="268" priority="40" operator="lessThan">
      <formula>-1</formula>
    </cfRule>
  </conditionalFormatting>
  <conditionalFormatting sqref="H78">
    <cfRule type="cellIs" dxfId="267" priority="24" operator="lessThan">
      <formula>-1</formula>
    </cfRule>
  </conditionalFormatting>
  <conditionalFormatting sqref="H112 O112">
    <cfRule type="cellIs" dxfId="266" priority="157" operator="lessThan">
      <formula>-1</formula>
    </cfRule>
  </conditionalFormatting>
  <conditionalFormatting sqref="H164:H165">
    <cfRule type="cellIs" dxfId="265" priority="77" operator="lessThan">
      <formula>-1</formula>
    </cfRule>
  </conditionalFormatting>
  <conditionalFormatting sqref="H167:H168">
    <cfRule type="cellIs" dxfId="264" priority="27" operator="lessThan">
      <formula>-1</formula>
    </cfRule>
  </conditionalFormatting>
  <conditionalFormatting sqref="H228">
    <cfRule type="cellIs" dxfId="263" priority="129" operator="lessThan">
      <formula>-1</formula>
    </cfRule>
  </conditionalFormatting>
  <conditionalFormatting sqref="H288">
    <cfRule type="cellIs" dxfId="262" priority="4" operator="lessThan">
      <formula>-1</formula>
    </cfRule>
  </conditionalFormatting>
  <conditionalFormatting sqref="H385">
    <cfRule type="cellIs" dxfId="261" priority="36" operator="lessThan">
      <formula>-1</formula>
    </cfRule>
  </conditionalFormatting>
  <conditionalFormatting sqref="H462">
    <cfRule type="cellIs" dxfId="260" priority="12" operator="lessThan">
      <formula>-1</formula>
    </cfRule>
  </conditionalFormatting>
  <conditionalFormatting sqref="H499">
    <cfRule type="cellIs" dxfId="259" priority="143" operator="lessThan">
      <formula>-1</formula>
    </cfRule>
  </conditionalFormatting>
  <conditionalFormatting sqref="H504">
    <cfRule type="cellIs" dxfId="258" priority="26" operator="lessThan">
      <formula>-1</formula>
    </cfRule>
  </conditionalFormatting>
  <conditionalFormatting sqref="H509:H511">
    <cfRule type="cellIs" dxfId="257" priority="11" operator="lessThan">
      <formula>-1</formula>
    </cfRule>
  </conditionalFormatting>
  <conditionalFormatting sqref="H618">
    <cfRule type="cellIs" dxfId="256" priority="43" operator="lessThan">
      <formula>-1</formula>
    </cfRule>
  </conditionalFormatting>
  <conditionalFormatting sqref="H698">
    <cfRule type="cellIs" dxfId="255" priority="105" operator="lessThan">
      <formula>-1</formula>
    </cfRule>
  </conditionalFormatting>
  <conditionalFormatting sqref="H723">
    <cfRule type="timePeriod" dxfId="254" priority="99" stopIfTrue="1" timePeriod="today">
      <formula>FLOOR(H723,1)=TODAY()</formula>
    </cfRule>
  </conditionalFormatting>
  <conditionalFormatting sqref="H724">
    <cfRule type="cellIs" dxfId="253" priority="96" operator="lessThan">
      <formula>-1</formula>
    </cfRule>
  </conditionalFormatting>
  <conditionalFormatting sqref="H781">
    <cfRule type="cellIs" dxfId="252" priority="152" operator="lessThan">
      <formula>-1</formula>
    </cfRule>
  </conditionalFormatting>
  <conditionalFormatting sqref="H783">
    <cfRule type="cellIs" dxfId="251" priority="150" operator="lessThan">
      <formula>-1</formula>
    </cfRule>
  </conditionalFormatting>
  <conditionalFormatting sqref="I5:I111">
    <cfRule type="cellIs" dxfId="250" priority="39" operator="lessThan">
      <formula>-1</formula>
    </cfRule>
  </conditionalFormatting>
  <conditionalFormatting sqref="I113:I166">
    <cfRule type="cellIs" dxfId="249" priority="74" operator="lessThan">
      <formula>-1</formula>
    </cfRule>
  </conditionalFormatting>
  <conditionalFormatting sqref="I167:I168">
    <cfRule type="cellIs" dxfId="248" priority="28" operator="lessThan">
      <formula>-0.01</formula>
    </cfRule>
  </conditionalFormatting>
  <conditionalFormatting sqref="I169:I188 I456:I462 I464:I514 I516:I527 I529:I532 I648:I651 I653:I675 I677:I718 I726:I738 I770:I780">
    <cfRule type="cellIs" dxfId="247" priority="161" operator="lessThan">
      <formula>-1</formula>
    </cfRule>
  </conditionalFormatting>
  <conditionalFormatting sqref="I190:I224">
    <cfRule type="cellIs" dxfId="246" priority="18" operator="lessThan">
      <formula>-1</formula>
    </cfRule>
  </conditionalFormatting>
  <conditionalFormatting sqref="I229 I231:I234">
    <cfRule type="cellIs" dxfId="245" priority="132" operator="lessThan">
      <formula>-1</formula>
    </cfRule>
  </conditionalFormatting>
  <conditionalFormatting sqref="I241 I243:I244">
    <cfRule type="cellIs" dxfId="244" priority="15" operator="lessThan">
      <formula>-1</formula>
    </cfRule>
  </conditionalFormatting>
  <conditionalFormatting sqref="I246:I287">
    <cfRule type="cellIs" dxfId="243" priority="6" operator="lessThan">
      <formula>-1</formula>
    </cfRule>
  </conditionalFormatting>
  <conditionalFormatting sqref="I289:I377">
    <cfRule type="cellIs" dxfId="242" priority="45" operator="lessThan">
      <formula>-1</formula>
    </cfRule>
  </conditionalFormatting>
  <conditionalFormatting sqref="I380:I454">
    <cfRule type="cellIs" dxfId="241" priority="33" operator="lessThan">
      <formula>-1</formula>
    </cfRule>
  </conditionalFormatting>
  <conditionalFormatting sqref="I536:I646">
    <cfRule type="cellIs" dxfId="240" priority="42" operator="lessThan">
      <formula>-1</formula>
    </cfRule>
  </conditionalFormatting>
  <conditionalFormatting sqref="I652">
    <cfRule type="cellIs" dxfId="239" priority="116" operator="lessThan">
      <formula>-0.01</formula>
    </cfRule>
  </conditionalFormatting>
  <conditionalFormatting sqref="I720:I723">
    <cfRule type="cellIs" dxfId="238" priority="89" operator="lessThan">
      <formula>-1</formula>
    </cfRule>
  </conditionalFormatting>
  <conditionalFormatting sqref="K112">
    <cfRule type="timePeriod" dxfId="237" priority="158" stopIfTrue="1" timePeriod="today">
      <formula>FLOOR(K112,1)=TODAY()</formula>
    </cfRule>
  </conditionalFormatting>
  <conditionalFormatting sqref="K164:K165">
    <cfRule type="cellIs" dxfId="236" priority="76" operator="lessThan">
      <formula>-0.01</formula>
    </cfRule>
  </conditionalFormatting>
  <conditionalFormatting sqref="K241:K244">
    <cfRule type="cellIs" dxfId="235" priority="14" operator="lessThan">
      <formula>-1</formula>
    </cfRule>
  </conditionalFormatting>
  <conditionalFormatting sqref="K647">
    <cfRule type="cellIs" dxfId="234" priority="119" operator="lessThan">
      <formula>-0.01</formula>
    </cfRule>
  </conditionalFormatting>
  <conditionalFormatting sqref="K724:K725">
    <cfRule type="cellIs" dxfId="233" priority="95" operator="lessThan">
      <formula>-0.01</formula>
    </cfRule>
  </conditionalFormatting>
  <conditionalFormatting sqref="L1:L2 M4:M163 M320:M377 M720:M723 M726:M790 L791:L1048576">
    <cfRule type="cellIs" dxfId="232" priority="142" operator="lessThan">
      <formula>-0.01</formula>
    </cfRule>
  </conditionalFormatting>
  <conditionalFormatting sqref="M166:M318">
    <cfRule type="cellIs" dxfId="231" priority="17" operator="lessThan">
      <formula>-0.01</formula>
    </cfRule>
  </conditionalFormatting>
  <conditionalFormatting sqref="M380:M718">
    <cfRule type="cellIs" dxfId="230" priority="114" operator="lessThan">
      <formula>-0.01</formula>
    </cfRule>
  </conditionalFormatting>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5F1E-BEBA-4C4F-9A07-80F16D68E441}">
  <dimension ref="A1:L154"/>
  <sheetViews>
    <sheetView showGridLines="0" zoomScale="85" zoomScaleNormal="85" workbookViewId="0">
      <pane ySplit="3" topLeftCell="A85" activePane="bottomLeft" state="frozen"/>
      <selection pane="bottomLeft" activeCell="D27" sqref="D27"/>
    </sheetView>
  </sheetViews>
  <sheetFormatPr defaultRowHeight="14.4"/>
  <cols>
    <col min="1" max="1" width="14.6640625" style="59" customWidth="1"/>
    <col min="2" max="2" width="26.109375" style="422" customWidth="1"/>
    <col min="3" max="3" width="9.88671875" style="51" customWidth="1"/>
    <col min="4" max="5" width="25.88671875" style="30" customWidth="1"/>
    <col min="6" max="6" width="17.33203125" style="1" customWidth="1"/>
    <col min="7" max="7" width="16.5546875" style="489" customWidth="1"/>
    <col min="8" max="8" width="16.44140625" style="585" customWidth="1"/>
    <col min="9" max="9" width="17.109375" style="461" customWidth="1"/>
    <col min="10" max="10" width="16.88671875" customWidth="1"/>
    <col min="11" max="11" width="20.6640625" style="322" customWidth="1"/>
    <col min="12" max="12" width="15.5546875" customWidth="1"/>
    <col min="13" max="13" width="14" customWidth="1"/>
    <col min="14" max="14" width="0.44140625" customWidth="1"/>
    <col min="15" max="15" width="9.6640625" customWidth="1"/>
    <col min="16" max="16" width="9.88671875" customWidth="1"/>
    <col min="17" max="17" width="12.5546875" customWidth="1"/>
    <col min="18" max="18" width="14.33203125" customWidth="1"/>
    <col min="19" max="19" width="15.33203125" customWidth="1"/>
    <col min="20" max="21" width="11.88671875" customWidth="1"/>
    <col min="24" max="24" width="10.33203125" customWidth="1"/>
    <col min="25" max="25" width="16" customWidth="1"/>
  </cols>
  <sheetData>
    <row r="1" spans="1:12" ht="31.2">
      <c r="A1" s="845" t="s">
        <v>218</v>
      </c>
      <c r="B1" s="845"/>
      <c r="C1" s="845"/>
      <c r="D1" s="845"/>
      <c r="E1" s="845"/>
      <c r="F1" s="845"/>
      <c r="G1" s="845"/>
      <c r="H1" s="845"/>
      <c r="I1" s="845"/>
      <c r="J1" s="845"/>
    </row>
    <row r="2" spans="1:12" ht="23.25" customHeight="1">
      <c r="A2" s="57"/>
      <c r="C2" s="46"/>
      <c r="D2" s="214"/>
      <c r="E2" s="1"/>
      <c r="F2" s="462"/>
      <c r="G2" s="490"/>
      <c r="H2" s="561"/>
      <c r="I2" s="444"/>
    </row>
    <row r="3" spans="1:12" ht="63.75" customHeight="1">
      <c r="A3" s="60" t="s">
        <v>106</v>
      </c>
      <c r="B3" s="388" t="s">
        <v>0</v>
      </c>
      <c r="C3" s="387" t="s">
        <v>108</v>
      </c>
      <c r="D3" s="388" t="s">
        <v>1</v>
      </c>
      <c r="E3" s="389" t="s">
        <v>114</v>
      </c>
      <c r="F3" s="390" t="s">
        <v>3</v>
      </c>
      <c r="G3" s="474" t="s">
        <v>4</v>
      </c>
      <c r="H3" s="562" t="s">
        <v>119</v>
      </c>
      <c r="I3" s="443" t="s">
        <v>5</v>
      </c>
      <c r="J3" s="391" t="s">
        <v>117</v>
      </c>
      <c r="K3" s="392" t="s">
        <v>107</v>
      </c>
      <c r="L3" s="391" t="s">
        <v>180</v>
      </c>
    </row>
    <row r="4" spans="1:12" ht="21" customHeight="1">
      <c r="A4" s="58" t="s">
        <v>106</v>
      </c>
      <c r="B4" s="517" t="s">
        <v>219</v>
      </c>
      <c r="C4" s="383" t="s">
        <v>224</v>
      </c>
      <c r="D4" s="279"/>
      <c r="E4" s="384"/>
      <c r="F4" s="386"/>
      <c r="G4" s="475"/>
      <c r="H4" s="563"/>
      <c r="I4" s="445"/>
      <c r="J4" s="386"/>
      <c r="K4" s="385"/>
      <c r="L4" s="323"/>
    </row>
    <row r="5" spans="1:12" s="440" customFormat="1" ht="19.5" customHeight="1">
      <c r="A5" s="52" t="s">
        <v>115</v>
      </c>
      <c r="B5" s="586" t="s">
        <v>219</v>
      </c>
      <c r="C5" s="491"/>
      <c r="D5" s="492">
        <v>46121</v>
      </c>
      <c r="E5" s="493" t="s">
        <v>249</v>
      </c>
      <c r="F5" s="494">
        <v>2000</v>
      </c>
      <c r="G5" s="495">
        <f>SUM(G6:G8)</f>
        <v>2000</v>
      </c>
      <c r="H5" s="524">
        <f>Tracking_SI3[[#This Row],[Số  lượng trên ĐH]]-Tracking_SI3[[#This Row],[Số  lượng giao]]</f>
        <v>0</v>
      </c>
      <c r="I5" s="494">
        <v>46000</v>
      </c>
      <c r="J5" s="438" t="s">
        <v>116</v>
      </c>
      <c r="K5" s="437"/>
      <c r="L5" s="439"/>
    </row>
    <row r="6" spans="1:12" ht="21" customHeight="1">
      <c r="A6" s="22"/>
      <c r="B6" s="421" t="s">
        <v>219</v>
      </c>
      <c r="C6" s="433"/>
      <c r="D6" s="116">
        <v>46123</v>
      </c>
      <c r="E6" s="472" t="s">
        <v>249</v>
      </c>
      <c r="F6" s="446"/>
      <c r="G6" s="476">
        <v>848</v>
      </c>
      <c r="H6" s="564"/>
      <c r="I6" s="446"/>
      <c r="J6" s="288" t="s">
        <v>118</v>
      </c>
      <c r="K6" s="434"/>
      <c r="L6" s="326"/>
    </row>
    <row r="7" spans="1:12" ht="19.5" customHeight="1">
      <c r="A7" s="22"/>
      <c r="B7" s="421" t="s">
        <v>219</v>
      </c>
      <c r="C7" s="433"/>
      <c r="D7" s="116">
        <v>46130</v>
      </c>
      <c r="E7" s="472" t="s">
        <v>249</v>
      </c>
      <c r="F7" s="446"/>
      <c r="G7" s="476">
        <v>830</v>
      </c>
      <c r="H7" s="564"/>
      <c r="I7" s="446"/>
      <c r="J7" s="288" t="s">
        <v>118</v>
      </c>
      <c r="K7" s="434"/>
      <c r="L7" s="326"/>
    </row>
    <row r="8" spans="1:12" ht="21" customHeight="1">
      <c r="A8" s="22"/>
      <c r="B8" s="421" t="s">
        <v>219</v>
      </c>
      <c r="C8" s="48"/>
      <c r="D8" s="288">
        <v>46135</v>
      </c>
      <c r="E8" s="472" t="s">
        <v>249</v>
      </c>
      <c r="F8" s="447"/>
      <c r="G8" s="476">
        <v>322</v>
      </c>
      <c r="H8" s="564"/>
      <c r="I8" s="447"/>
      <c r="J8" s="436" t="s">
        <v>118</v>
      </c>
      <c r="K8" s="435"/>
      <c r="L8" s="326"/>
    </row>
    <row r="9" spans="1:12" ht="21" customHeight="1">
      <c r="A9" s="52" t="s">
        <v>115</v>
      </c>
      <c r="B9" s="586" t="s">
        <v>219</v>
      </c>
      <c r="C9" s="491"/>
      <c r="D9" s="492">
        <v>46135</v>
      </c>
      <c r="E9" s="493" t="s">
        <v>260</v>
      </c>
      <c r="F9" s="494">
        <v>1500</v>
      </c>
      <c r="G9" s="495">
        <f>SUM(G10:G13)</f>
        <v>950</v>
      </c>
      <c r="H9" s="524">
        <f>Tracking_SI3[[#This Row],[Số  lượng trên ĐH]]-Tracking_SI3[[#This Row],[Số  lượng giao]]</f>
        <v>550</v>
      </c>
      <c r="I9" s="494">
        <v>46000</v>
      </c>
      <c r="J9" s="436"/>
      <c r="K9" s="435"/>
      <c r="L9" s="326"/>
    </row>
    <row r="10" spans="1:12" ht="21" customHeight="1">
      <c r="A10" s="22"/>
      <c r="B10" s="421" t="s">
        <v>219</v>
      </c>
      <c r="C10" s="48"/>
      <c r="D10" s="288">
        <v>46135</v>
      </c>
      <c r="E10" s="472" t="s">
        <v>260</v>
      </c>
      <c r="F10" s="447"/>
      <c r="G10" s="476">
        <f>842-G8</f>
        <v>520</v>
      </c>
      <c r="H10" s="564"/>
      <c r="I10" s="447"/>
      <c r="J10" s="436"/>
      <c r="K10" s="435"/>
      <c r="L10" s="326"/>
    </row>
    <row r="11" spans="1:12" ht="21" customHeight="1">
      <c r="A11" s="22"/>
      <c r="B11" s="421" t="s">
        <v>219</v>
      </c>
      <c r="C11" s="48"/>
      <c r="D11" s="288">
        <v>46147</v>
      </c>
      <c r="E11" s="472" t="s">
        <v>260</v>
      </c>
      <c r="F11" s="447"/>
      <c r="G11" s="476">
        <v>430</v>
      </c>
      <c r="H11" s="564"/>
      <c r="I11" s="447"/>
      <c r="J11" s="436"/>
      <c r="K11" s="435"/>
      <c r="L11" s="326"/>
    </row>
    <row r="12" spans="1:12" ht="21" customHeight="1">
      <c r="A12" s="22"/>
      <c r="B12" s="421" t="s">
        <v>219</v>
      </c>
      <c r="C12" s="48"/>
      <c r="D12" s="288"/>
      <c r="E12" s="472" t="s">
        <v>260</v>
      </c>
      <c r="F12" s="447"/>
      <c r="G12" s="476"/>
      <c r="H12" s="564"/>
      <c r="I12" s="447"/>
      <c r="J12" s="436"/>
      <c r="K12" s="435"/>
      <c r="L12" s="326"/>
    </row>
    <row r="13" spans="1:12" ht="21" customHeight="1">
      <c r="A13" s="22"/>
      <c r="B13" s="421" t="s">
        <v>219</v>
      </c>
      <c r="C13" s="48"/>
      <c r="D13" s="288"/>
      <c r="E13" s="472" t="s">
        <v>260</v>
      </c>
      <c r="F13" s="447"/>
      <c r="G13" s="476"/>
      <c r="H13" s="564"/>
      <c r="I13" s="447"/>
      <c r="J13" s="436"/>
      <c r="K13" s="435"/>
      <c r="L13" s="326"/>
    </row>
    <row r="14" spans="1:12" s="420" customFormat="1" ht="19.5" customHeight="1">
      <c r="A14" s="58" t="s">
        <v>106</v>
      </c>
      <c r="B14" s="517" t="s">
        <v>220</v>
      </c>
      <c r="C14" s="383" t="s">
        <v>225</v>
      </c>
      <c r="D14" s="279"/>
      <c r="E14" s="384"/>
      <c r="F14" s="445"/>
      <c r="G14" s="475"/>
      <c r="H14" s="563"/>
      <c r="I14" s="445"/>
      <c r="J14" s="386"/>
      <c r="K14" s="385"/>
      <c r="L14" s="323"/>
    </row>
    <row r="15" spans="1:12" s="420" customFormat="1" ht="19.5" customHeight="1">
      <c r="A15" s="52" t="s">
        <v>115</v>
      </c>
      <c r="B15" s="534" t="s">
        <v>220</v>
      </c>
      <c r="C15" s="496"/>
      <c r="D15" s="341">
        <v>46121</v>
      </c>
      <c r="E15" s="497" t="s">
        <v>249</v>
      </c>
      <c r="F15" s="498">
        <v>2000</v>
      </c>
      <c r="G15" s="499">
        <f>SUM(G16:G19)</f>
        <v>928</v>
      </c>
      <c r="H15" s="551">
        <f>Tracking_SI3[[#This Row],[Số  lượng trên ĐH]]-Tracking_SI3[[#This Row],[Số  lượng giao]]</f>
        <v>1072</v>
      </c>
      <c r="I15" s="494">
        <v>46000</v>
      </c>
      <c r="J15" s="346"/>
      <c r="K15" s="45"/>
      <c r="L15" s="442"/>
    </row>
    <row r="16" spans="1:12" ht="21" customHeight="1">
      <c r="A16" s="22"/>
      <c r="B16" s="421" t="s">
        <v>220</v>
      </c>
      <c r="C16" s="433"/>
      <c r="D16" s="116">
        <v>46125</v>
      </c>
      <c r="E16" s="472" t="s">
        <v>249</v>
      </c>
      <c r="F16" s="446"/>
      <c r="G16" s="476">
        <v>928</v>
      </c>
      <c r="H16" s="564"/>
      <c r="I16" s="446"/>
      <c r="J16" s="288"/>
      <c r="K16" s="434"/>
      <c r="L16" s="326"/>
    </row>
    <row r="17" spans="1:12" ht="21" customHeight="1">
      <c r="A17" s="22"/>
      <c r="B17" s="421" t="s">
        <v>220</v>
      </c>
      <c r="C17" s="433"/>
      <c r="D17" s="116"/>
      <c r="E17" s="472" t="s">
        <v>249</v>
      </c>
      <c r="F17" s="446"/>
      <c r="G17" s="476"/>
      <c r="H17" s="564"/>
      <c r="I17" s="446"/>
      <c r="J17" s="288"/>
      <c r="K17" s="434"/>
      <c r="L17" s="326"/>
    </row>
    <row r="18" spans="1:12" ht="21" customHeight="1">
      <c r="A18" s="22"/>
      <c r="B18" s="421" t="s">
        <v>220</v>
      </c>
      <c r="C18" s="433"/>
      <c r="D18" s="116"/>
      <c r="E18" s="472" t="s">
        <v>249</v>
      </c>
      <c r="F18" s="446"/>
      <c r="G18" s="476"/>
      <c r="H18" s="564"/>
      <c r="I18" s="446"/>
      <c r="J18" s="288"/>
      <c r="K18" s="434"/>
      <c r="L18" s="326"/>
    </row>
    <row r="19" spans="1:12" ht="21" customHeight="1">
      <c r="A19" s="22"/>
      <c r="B19" s="421" t="s">
        <v>220</v>
      </c>
      <c r="C19" s="433"/>
      <c r="D19" s="116"/>
      <c r="E19" s="472" t="s">
        <v>249</v>
      </c>
      <c r="F19" s="446"/>
      <c r="G19" s="476"/>
      <c r="H19" s="564"/>
      <c r="I19" s="446"/>
      <c r="J19" s="288"/>
      <c r="K19" s="434"/>
      <c r="L19" s="326"/>
    </row>
    <row r="20" spans="1:12">
      <c r="A20" s="58" t="s">
        <v>106</v>
      </c>
      <c r="B20" s="519" t="s">
        <v>230</v>
      </c>
      <c r="C20" s="426" t="s">
        <v>231</v>
      </c>
      <c r="D20" s="427"/>
      <c r="E20" s="428"/>
      <c r="F20" s="448"/>
      <c r="G20" s="477"/>
      <c r="H20" s="565"/>
      <c r="I20" s="448"/>
      <c r="J20" s="430"/>
      <c r="K20" s="429"/>
      <c r="L20" s="323"/>
    </row>
    <row r="21" spans="1:12">
      <c r="A21" s="425" t="s">
        <v>115</v>
      </c>
      <c r="B21" s="534" t="s">
        <v>230</v>
      </c>
      <c r="C21" s="500"/>
      <c r="D21" s="341">
        <v>46109</v>
      </c>
      <c r="E21" s="347" t="s">
        <v>247</v>
      </c>
      <c r="F21" s="502">
        <v>600</v>
      </c>
      <c r="G21" s="503">
        <f t="shared" ref="G21" si="0">SUM(G22:G24)</f>
        <v>220</v>
      </c>
      <c r="H21" s="551">
        <f>Tracking_SI3[[#This Row],[Số  lượng trên ĐH]]-Tracking_SI3[[#This Row],[Số  lượng giao]]</f>
        <v>380</v>
      </c>
      <c r="I21" s="504">
        <v>41500</v>
      </c>
      <c r="J21" s="133"/>
      <c r="K21" s="32"/>
      <c r="L21" s="419"/>
    </row>
    <row r="22" spans="1:12">
      <c r="A22" s="421"/>
      <c r="B22" s="421" t="s">
        <v>230</v>
      </c>
      <c r="C22" s="49"/>
      <c r="D22" s="116" t="s">
        <v>251</v>
      </c>
      <c r="E22" s="26" t="s">
        <v>247</v>
      </c>
      <c r="F22" s="449"/>
      <c r="G22" s="478">
        <v>220</v>
      </c>
      <c r="H22" s="566">
        <f>Tracking_SI3[[#This Row],[Số  lượng giao]]-Tracking_SI3[[#This Row],[Số  lượng trên ĐH]]</f>
        <v>220</v>
      </c>
      <c r="I22" s="460"/>
      <c r="J22" s="131"/>
      <c r="K22" s="26"/>
      <c r="L22" s="423"/>
    </row>
    <row r="23" spans="1:12">
      <c r="A23" s="421"/>
      <c r="B23" s="421" t="s">
        <v>230</v>
      </c>
      <c r="C23" s="49"/>
      <c r="D23" s="108"/>
      <c r="E23" s="26" t="s">
        <v>247</v>
      </c>
      <c r="F23" s="449"/>
      <c r="G23" s="478"/>
      <c r="H23" s="566">
        <f>Tracking_SI3[[#This Row],[Số  lượng giao]]-Tracking_SI3[[#This Row],[Số  lượng trên ĐH]]</f>
        <v>0</v>
      </c>
      <c r="I23" s="460"/>
      <c r="J23" s="131"/>
      <c r="K23" s="26"/>
      <c r="L23" s="423"/>
    </row>
    <row r="24" spans="1:12">
      <c r="A24" s="421"/>
      <c r="B24" s="421" t="s">
        <v>230</v>
      </c>
      <c r="C24" s="49"/>
      <c r="D24" s="108"/>
      <c r="E24" s="26" t="s">
        <v>247</v>
      </c>
      <c r="F24" s="449"/>
      <c r="G24" s="478"/>
      <c r="H24" s="566">
        <f>Tracking_SI3[[#This Row],[Số  lượng giao]]-Tracking_SI3[[#This Row],[Số  lượng trên ĐH]]</f>
        <v>0</v>
      </c>
      <c r="I24" s="460"/>
      <c r="J24" s="131"/>
      <c r="K24" s="26"/>
      <c r="L24" s="423"/>
    </row>
    <row r="25" spans="1:12" s="420" customFormat="1" ht="19.5" customHeight="1">
      <c r="A25" s="58" t="s">
        <v>106</v>
      </c>
      <c r="B25" s="517" t="s">
        <v>232</v>
      </c>
      <c r="C25" s="383" t="s">
        <v>250</v>
      </c>
      <c r="D25" s="279"/>
      <c r="E25" s="384"/>
      <c r="F25" s="445"/>
      <c r="G25" s="475"/>
      <c r="H25" s="563"/>
      <c r="I25" s="445"/>
      <c r="J25" s="386"/>
      <c r="K25" s="385"/>
      <c r="L25" s="323"/>
    </row>
    <row r="26" spans="1:12" s="107" customFormat="1">
      <c r="A26" s="535" t="s">
        <v>115</v>
      </c>
      <c r="B26" s="535" t="s">
        <v>232</v>
      </c>
      <c r="C26" s="106"/>
      <c r="D26" s="183">
        <v>46097</v>
      </c>
      <c r="E26" s="29" t="s">
        <v>248</v>
      </c>
      <c r="F26" s="536">
        <v>3000</v>
      </c>
      <c r="G26" s="537">
        <f>SUM(G27)</f>
        <v>3137</v>
      </c>
      <c r="H26" s="567">
        <f>Tracking_SI3[[#This Row],[Số  lượng trên ĐH]]-Tracking_SI3[[#This Row],[Số  lượng giao]]</f>
        <v>-137</v>
      </c>
      <c r="I26" s="538">
        <v>41500</v>
      </c>
      <c r="J26" s="195" t="s">
        <v>116</v>
      </c>
      <c r="K26" s="149"/>
      <c r="L26" s="539"/>
    </row>
    <row r="27" spans="1:12" s="420" customFormat="1">
      <c r="A27" s="58"/>
      <c r="B27" s="421" t="s">
        <v>232</v>
      </c>
      <c r="C27" s="408"/>
      <c r="D27" s="116" t="s">
        <v>251</v>
      </c>
      <c r="E27" s="412"/>
      <c r="F27" s="450"/>
      <c r="G27" s="479">
        <v>3137</v>
      </c>
      <c r="H27" s="568"/>
      <c r="I27" s="450"/>
      <c r="J27" s="432" t="s">
        <v>118</v>
      </c>
      <c r="K27" s="431"/>
      <c r="L27" s="326"/>
    </row>
    <row r="28" spans="1:12">
      <c r="A28" s="425" t="s">
        <v>115</v>
      </c>
      <c r="B28" s="534" t="s">
        <v>232</v>
      </c>
      <c r="C28" s="500"/>
      <c r="D28" s="501">
        <v>46182</v>
      </c>
      <c r="E28" s="29" t="s">
        <v>249</v>
      </c>
      <c r="F28" s="502">
        <v>3000</v>
      </c>
      <c r="G28" s="503">
        <f>SUM(G29:G31)</f>
        <v>0</v>
      </c>
      <c r="H28" s="551">
        <f>Tracking_SI3[[#This Row],[Số  lượng trên ĐH]]-Tracking_SI3[[#This Row],[Số  lượng giao]]</f>
        <v>3000</v>
      </c>
      <c r="I28" s="504">
        <v>43000</v>
      </c>
      <c r="J28" s="133"/>
      <c r="K28" s="32"/>
      <c r="L28" s="419"/>
    </row>
    <row r="29" spans="1:12">
      <c r="A29" s="58"/>
      <c r="B29" s="421" t="s">
        <v>232</v>
      </c>
      <c r="C29" s="408"/>
      <c r="D29" s="116"/>
      <c r="E29" s="412"/>
      <c r="F29" s="450"/>
      <c r="G29" s="479"/>
      <c r="H29" s="568"/>
      <c r="I29" s="450"/>
      <c r="J29" s="432"/>
      <c r="K29" s="431"/>
      <c r="L29" s="326"/>
    </row>
    <row r="30" spans="1:12">
      <c r="A30" s="58"/>
      <c r="B30" s="421" t="s">
        <v>232</v>
      </c>
      <c r="C30" s="47"/>
      <c r="D30" s="111"/>
      <c r="E30" s="24"/>
      <c r="F30" s="451"/>
      <c r="G30" s="480"/>
      <c r="H30" s="569"/>
      <c r="I30" s="451"/>
      <c r="J30" s="127"/>
      <c r="K30" s="24"/>
      <c r="L30" s="323"/>
    </row>
    <row r="31" spans="1:12">
      <c r="A31" s="58" t="s">
        <v>106</v>
      </c>
      <c r="B31" s="517" t="s">
        <v>233</v>
      </c>
      <c r="C31" s="383" t="s">
        <v>235</v>
      </c>
      <c r="D31" s="279"/>
      <c r="E31" s="384"/>
      <c r="F31" s="445"/>
      <c r="G31" s="475"/>
      <c r="H31" s="563">
        <f>Tracking_SI3[[#This Row],[Số  lượng giao]]-Tracking_SI3[[#This Row],[Số  lượng trên ĐH]]</f>
        <v>0</v>
      </c>
      <c r="I31" s="445"/>
      <c r="J31" s="386"/>
      <c r="K31" s="385"/>
      <c r="L31" s="323"/>
    </row>
    <row r="32" spans="1:12" s="107" customFormat="1">
      <c r="A32" s="535" t="s">
        <v>115</v>
      </c>
      <c r="B32" s="535" t="s">
        <v>233</v>
      </c>
      <c r="C32" s="106"/>
      <c r="D32" s="183">
        <v>46097</v>
      </c>
      <c r="E32" s="29" t="s">
        <v>248</v>
      </c>
      <c r="F32" s="536">
        <v>1200</v>
      </c>
      <c r="G32" s="537">
        <f>SUM(G33:G37)</f>
        <v>1322</v>
      </c>
      <c r="H32" s="567">
        <f>Tracking_SI3[[#This Row],[Số  lượng trên ĐH]]-Tracking_SI3[[#This Row],[Số  lượng giao]]</f>
        <v>-122</v>
      </c>
      <c r="I32" s="538">
        <v>41500</v>
      </c>
      <c r="J32" s="195" t="s">
        <v>116</v>
      </c>
      <c r="K32" s="149"/>
      <c r="L32" s="539"/>
    </row>
    <row r="33" spans="1:12">
      <c r="A33" s="57"/>
      <c r="B33" s="421" t="s">
        <v>233</v>
      </c>
      <c r="C33" s="465"/>
      <c r="D33" s="116" t="s">
        <v>251</v>
      </c>
      <c r="E33" s="364" t="s">
        <v>248</v>
      </c>
      <c r="F33" s="466"/>
      <c r="G33" s="473">
        <v>1322</v>
      </c>
      <c r="H33" s="570"/>
      <c r="I33" s="458"/>
      <c r="J33" s="466" t="s">
        <v>118</v>
      </c>
      <c r="K33" s="467"/>
      <c r="L33" s="468"/>
    </row>
    <row r="34" spans="1:12">
      <c r="A34" s="425" t="s">
        <v>115</v>
      </c>
      <c r="B34" s="534" t="s">
        <v>233</v>
      </c>
      <c r="C34" s="500"/>
      <c r="D34" s="501"/>
      <c r="E34" s="347"/>
      <c r="F34" s="502"/>
      <c r="G34" s="503"/>
      <c r="H34" s="551"/>
      <c r="I34" s="504"/>
      <c r="J34" s="133"/>
      <c r="K34" s="32"/>
      <c r="L34" s="419"/>
    </row>
    <row r="35" spans="1:12" ht="15.75" customHeight="1">
      <c r="A35" s="57"/>
      <c r="B35" s="421" t="s">
        <v>233</v>
      </c>
      <c r="C35" s="465"/>
      <c r="D35" s="116"/>
      <c r="E35" s="364"/>
      <c r="F35" s="466"/>
      <c r="G35" s="473"/>
      <c r="H35" s="570"/>
      <c r="I35" s="458"/>
      <c r="J35" s="466"/>
      <c r="K35" s="467"/>
      <c r="L35" s="468"/>
    </row>
    <row r="36" spans="1:12">
      <c r="A36" s="57"/>
      <c r="B36" s="421" t="s">
        <v>233</v>
      </c>
      <c r="C36" s="465"/>
      <c r="D36" s="116"/>
      <c r="E36" s="364"/>
      <c r="F36" s="466"/>
      <c r="G36" s="473"/>
      <c r="H36" s="570"/>
      <c r="I36" s="458"/>
      <c r="J36" s="466"/>
      <c r="K36" s="467"/>
      <c r="L36" s="468"/>
    </row>
    <row r="37" spans="1:12">
      <c r="A37" s="57"/>
      <c r="B37" s="421" t="s">
        <v>233</v>
      </c>
      <c r="C37" s="371"/>
      <c r="D37" s="469"/>
      <c r="E37" s="364"/>
      <c r="F37" s="372"/>
      <c r="G37" s="481"/>
      <c r="H37" s="571"/>
      <c r="I37" s="459"/>
      <c r="J37" s="195"/>
      <c r="K37" s="470"/>
      <c r="L37" s="471"/>
    </row>
    <row r="38" spans="1:12" s="420" customFormat="1">
      <c r="A38" s="58" t="s">
        <v>106</v>
      </c>
      <c r="B38" s="520" t="s">
        <v>221</v>
      </c>
      <c r="C38" s="393" t="s">
        <v>226</v>
      </c>
      <c r="D38" s="394"/>
      <c r="E38" s="395"/>
      <c r="F38" s="397"/>
      <c r="G38" s="482"/>
      <c r="H38" s="572">
        <f>Tracking_SI3[[#This Row],[Số  lượng giao]]-Tracking_SI3[[#This Row],[Số  lượng trên ĐH]]</f>
        <v>0</v>
      </c>
      <c r="I38" s="452"/>
      <c r="J38" s="397"/>
      <c r="K38" s="396"/>
      <c r="L38" s="323"/>
    </row>
    <row r="39" spans="1:12" s="107" customFormat="1">
      <c r="A39" s="535" t="s">
        <v>115</v>
      </c>
      <c r="B39" s="535" t="s">
        <v>221</v>
      </c>
      <c r="C39" s="106"/>
      <c r="D39" s="183">
        <v>46097</v>
      </c>
      <c r="E39" s="29" t="s">
        <v>248</v>
      </c>
      <c r="F39" s="536">
        <v>2000</v>
      </c>
      <c r="G39" s="537">
        <f>SUM(G40:G41)</f>
        <v>1909</v>
      </c>
      <c r="H39" s="567">
        <f>Tracking_SI3[[#This Row],[Số  lượng trên ĐH]]-Tracking_SI3[[#This Row],[Số  lượng giao]]</f>
        <v>91</v>
      </c>
      <c r="I39" s="538">
        <v>40000</v>
      </c>
      <c r="J39" s="195" t="s">
        <v>116</v>
      </c>
      <c r="K39" s="149"/>
      <c r="L39" s="539"/>
    </row>
    <row r="40" spans="1:12" s="424" customFormat="1">
      <c r="A40" s="421"/>
      <c r="B40" s="421" t="s">
        <v>221</v>
      </c>
      <c r="C40" s="49"/>
      <c r="D40" s="116" t="s">
        <v>251</v>
      </c>
      <c r="E40" s="364"/>
      <c r="F40" s="131"/>
      <c r="G40" s="478">
        <v>1501</v>
      </c>
      <c r="H40" s="573"/>
      <c r="I40" s="449"/>
      <c r="J40" s="466" t="s">
        <v>118</v>
      </c>
      <c r="K40" s="26"/>
      <c r="L40" s="423"/>
    </row>
    <row r="41" spans="1:12" s="424" customFormat="1">
      <c r="A41" s="421"/>
      <c r="B41" s="421" t="s">
        <v>221</v>
      </c>
      <c r="C41" s="49"/>
      <c r="D41" s="108">
        <v>46122</v>
      </c>
      <c r="E41" s="364"/>
      <c r="F41" s="131"/>
      <c r="G41" s="478">
        <v>408</v>
      </c>
      <c r="H41" s="573"/>
      <c r="I41" s="449"/>
      <c r="J41" s="131" t="s">
        <v>118</v>
      </c>
      <c r="K41" s="26"/>
      <c r="L41" s="423"/>
    </row>
    <row r="42" spans="1:12" s="424" customFormat="1">
      <c r="A42" s="52" t="s">
        <v>115</v>
      </c>
      <c r="B42" s="534" t="s">
        <v>221</v>
      </c>
      <c r="C42" s="496"/>
      <c r="D42" s="341">
        <v>46121</v>
      </c>
      <c r="E42" s="497" t="s">
        <v>249</v>
      </c>
      <c r="F42" s="356">
        <v>2000</v>
      </c>
      <c r="G42" s="499">
        <f>SUM(G43:G45)</f>
        <v>716</v>
      </c>
      <c r="H42" s="551">
        <f>Tracking_SI3[[#This Row],[Số  lượng trên ĐH]]-Tracking_SI3[[#This Row],[Số  lượng giao]]</f>
        <v>1284</v>
      </c>
      <c r="I42" s="504">
        <v>44000</v>
      </c>
      <c r="J42" s="346"/>
      <c r="K42" s="45"/>
      <c r="L42" s="419"/>
    </row>
    <row r="43" spans="1:12" s="424" customFormat="1">
      <c r="A43" s="421"/>
      <c r="B43" s="421" t="s">
        <v>221</v>
      </c>
      <c r="C43" s="49"/>
      <c r="D43" s="108">
        <v>46123</v>
      </c>
      <c r="E43" s="364" t="s">
        <v>249</v>
      </c>
      <c r="F43" s="131"/>
      <c r="G43" s="478">
        <v>716</v>
      </c>
      <c r="H43" s="573">
        <f>Tracking_SI3[[#This Row],[Số  lượng giao]]-Tracking_SI3[[#This Row],[Số  lượng trên ĐH]]</f>
        <v>716</v>
      </c>
      <c r="I43" s="449"/>
      <c r="J43" s="131"/>
      <c r="K43" s="26"/>
      <c r="L43" s="423"/>
    </row>
    <row r="44" spans="1:12">
      <c r="A44" s="421"/>
      <c r="B44" s="421" t="s">
        <v>221</v>
      </c>
      <c r="C44" s="49"/>
      <c r="D44" s="108"/>
      <c r="E44" s="364" t="s">
        <v>249</v>
      </c>
      <c r="F44" s="131"/>
      <c r="G44" s="478"/>
      <c r="H44" s="573"/>
      <c r="I44" s="449"/>
      <c r="J44" s="131"/>
      <c r="K44" s="26"/>
      <c r="L44" s="423"/>
    </row>
    <row r="45" spans="1:12" s="440" customFormat="1">
      <c r="A45" s="421"/>
      <c r="B45" s="421" t="s">
        <v>221</v>
      </c>
      <c r="C45" s="49"/>
      <c r="D45" s="108"/>
      <c r="E45" s="364" t="s">
        <v>249</v>
      </c>
      <c r="F45" s="131"/>
      <c r="G45" s="478"/>
      <c r="H45" s="573"/>
      <c r="I45" s="449"/>
      <c r="J45" s="131"/>
      <c r="K45" s="26"/>
      <c r="L45" s="423"/>
    </row>
    <row r="46" spans="1:12" s="424" customFormat="1">
      <c r="A46" s="58" t="s">
        <v>106</v>
      </c>
      <c r="B46" s="520" t="s">
        <v>222</v>
      </c>
      <c r="C46" s="393" t="s">
        <v>227</v>
      </c>
      <c r="D46" s="394"/>
      <c r="E46" s="395"/>
      <c r="F46" s="397"/>
      <c r="G46" s="482"/>
      <c r="H46" s="572">
        <f>Tracking_SI3[[#This Row],[Số  lượng giao]]-Tracking_SI3[[#This Row],[Số  lượng trên ĐH]]</f>
        <v>0</v>
      </c>
      <c r="I46" s="452"/>
      <c r="J46" s="397"/>
      <c r="K46" s="396"/>
      <c r="L46" s="323"/>
    </row>
    <row r="47" spans="1:12" s="424" customFormat="1">
      <c r="A47" s="52" t="s">
        <v>115</v>
      </c>
      <c r="B47" s="534" t="s">
        <v>222</v>
      </c>
      <c r="C47" s="496"/>
      <c r="D47" s="341">
        <v>46121</v>
      </c>
      <c r="E47" s="497" t="s">
        <v>249</v>
      </c>
      <c r="F47" s="356">
        <v>1000</v>
      </c>
      <c r="G47" s="499">
        <f>SUM(G48:G50)</f>
        <v>418</v>
      </c>
      <c r="H47" s="551">
        <f>Tracking_SI3[[#This Row],[Số  lượng trên ĐH]]-Tracking_SI3[[#This Row],[Số  lượng giao]]</f>
        <v>582</v>
      </c>
      <c r="I47" s="504">
        <v>44000</v>
      </c>
      <c r="J47" s="346"/>
      <c r="K47" s="45"/>
      <c r="L47" s="464"/>
    </row>
    <row r="48" spans="1:12">
      <c r="A48" s="421"/>
      <c r="B48" s="421" t="s">
        <v>222</v>
      </c>
      <c r="C48" s="49"/>
      <c r="D48" s="108">
        <v>46122</v>
      </c>
      <c r="E48" s="364" t="s">
        <v>249</v>
      </c>
      <c r="F48" s="131"/>
      <c r="G48" s="478">
        <v>418</v>
      </c>
      <c r="H48" s="573"/>
      <c r="I48" s="449"/>
      <c r="J48" s="131"/>
      <c r="K48" s="26"/>
      <c r="L48" s="423"/>
    </row>
    <row r="49" spans="1:12">
      <c r="A49" s="421"/>
      <c r="B49" s="421" t="s">
        <v>222</v>
      </c>
      <c r="C49" s="49"/>
      <c r="D49" s="108"/>
      <c r="E49" s="364" t="s">
        <v>249</v>
      </c>
      <c r="F49" s="131"/>
      <c r="G49" s="478"/>
      <c r="H49" s="573"/>
      <c r="I49" s="449"/>
      <c r="J49" s="131"/>
      <c r="K49" s="26"/>
      <c r="L49" s="423"/>
    </row>
    <row r="50" spans="1:12">
      <c r="A50" s="58"/>
      <c r="B50" s="421" t="s">
        <v>222</v>
      </c>
      <c r="C50" s="47"/>
      <c r="D50" s="111"/>
      <c r="E50" s="364" t="s">
        <v>249</v>
      </c>
      <c r="F50" s="130"/>
      <c r="G50" s="480"/>
      <c r="H50" s="569"/>
      <c r="I50" s="451"/>
      <c r="J50" s="127"/>
      <c r="K50" s="24"/>
      <c r="L50" s="323"/>
    </row>
    <row r="51" spans="1:12">
      <c r="A51" s="58" t="s">
        <v>106</v>
      </c>
      <c r="B51" s="520" t="s">
        <v>228</v>
      </c>
      <c r="C51" s="393" t="s">
        <v>229</v>
      </c>
      <c r="D51" s="394"/>
      <c r="E51" s="395"/>
      <c r="F51" s="397"/>
      <c r="G51" s="482"/>
      <c r="H51" s="572">
        <f>Tracking_SI3[[#This Row],[Số  lượng giao]]-Tracking_SI3[[#This Row],[Số  lượng trên ĐH]]</f>
        <v>0</v>
      </c>
      <c r="I51" s="452"/>
      <c r="J51" s="397"/>
      <c r="K51" s="396"/>
      <c r="L51" s="323"/>
    </row>
    <row r="52" spans="1:12">
      <c r="A52" s="52" t="s">
        <v>115</v>
      </c>
      <c r="B52" s="534" t="s">
        <v>228</v>
      </c>
      <c r="C52" s="496"/>
      <c r="D52" s="341">
        <v>46109</v>
      </c>
      <c r="E52" s="347" t="s">
        <v>247</v>
      </c>
      <c r="F52" s="356">
        <v>700</v>
      </c>
      <c r="G52" s="499">
        <f t="shared" ref="G52" si="1">SUM(G53:G55)</f>
        <v>0</v>
      </c>
      <c r="H52" s="551">
        <f>Tracking_SI3[[#This Row],[Số  lượng trên ĐH]]-Tracking_SI3[[#This Row],[Số  lượng giao]]</f>
        <v>700</v>
      </c>
      <c r="I52" s="504">
        <v>40000</v>
      </c>
      <c r="J52" s="346"/>
      <c r="K52" s="45"/>
      <c r="L52" s="419"/>
    </row>
    <row r="53" spans="1:12">
      <c r="A53" s="58"/>
      <c r="B53" s="421" t="s">
        <v>228</v>
      </c>
      <c r="C53" s="408"/>
      <c r="D53" s="111"/>
      <c r="E53" s="409"/>
      <c r="F53" s="411"/>
      <c r="G53" s="479"/>
      <c r="H53" s="568"/>
      <c r="I53" s="453"/>
      <c r="J53" s="411"/>
      <c r="K53" s="410"/>
      <c r="L53" s="326"/>
    </row>
    <row r="54" spans="1:12">
      <c r="A54" s="57" t="s">
        <v>115</v>
      </c>
      <c r="B54" s="421" t="s">
        <v>228</v>
      </c>
      <c r="C54" s="46"/>
      <c r="D54" s="111"/>
      <c r="E54" s="25"/>
      <c r="F54" s="130"/>
      <c r="G54" s="480"/>
      <c r="H54" s="574"/>
      <c r="I54" s="451"/>
      <c r="J54" s="130"/>
      <c r="K54" s="29"/>
      <c r="L54" s="323"/>
    </row>
    <row r="55" spans="1:12">
      <c r="A55" s="58" t="s">
        <v>106</v>
      </c>
      <c r="B55" s="72"/>
      <c r="C55" s="62" t="s">
        <v>236</v>
      </c>
      <c r="D55" s="115"/>
      <c r="E55" s="124"/>
      <c r="F55" s="129"/>
      <c r="G55" s="483"/>
      <c r="H55" s="575">
        <f>Tracking_SI3[[#This Row],[Số  lượng giao]]-Tracking_SI3[[#This Row],[Số  lượng trên ĐH]]</f>
        <v>0</v>
      </c>
      <c r="I55" s="454"/>
      <c r="J55" s="129"/>
      <c r="K55" s="63"/>
      <c r="L55" s="323"/>
    </row>
    <row r="56" spans="1:12" s="424" customFormat="1">
      <c r="A56" s="58" t="s">
        <v>115</v>
      </c>
      <c r="B56" s="422"/>
      <c r="C56" s="47"/>
      <c r="D56" s="111"/>
      <c r="E56" s="24"/>
      <c r="F56" s="130"/>
      <c r="G56" s="480"/>
      <c r="H56" s="569">
        <f>Tracking_SI3[[#This Row],[Số  lượng giao]]-Tracking_SI3[[#This Row],[Số  lượng trên ĐH]]</f>
        <v>0</v>
      </c>
      <c r="I56" s="451"/>
      <c r="J56" s="127"/>
      <c r="K56" s="24"/>
      <c r="L56" s="323"/>
    </row>
    <row r="57" spans="1:12" s="424" customFormat="1">
      <c r="A57" s="58"/>
      <c r="B57" s="422"/>
      <c r="C57" s="408"/>
      <c r="D57" s="111"/>
      <c r="E57" s="412"/>
      <c r="F57" s="453"/>
      <c r="G57" s="479"/>
      <c r="H57" s="576">
        <f>Tracking_SI3[[#This Row],[Số  lượng giao]]-Tracking_SI3[[#This Row],[Số  lượng trên ĐH]]</f>
        <v>0</v>
      </c>
      <c r="I57" s="453"/>
      <c r="J57" s="411"/>
      <c r="K57" s="410"/>
      <c r="L57" s="326"/>
    </row>
    <row r="58" spans="1:12" s="424" customFormat="1">
      <c r="A58" s="58" t="s">
        <v>106</v>
      </c>
      <c r="B58" s="507" t="s">
        <v>255</v>
      </c>
      <c r="C58" s="417" t="s">
        <v>256</v>
      </c>
      <c r="D58" s="508"/>
      <c r="E58" s="418"/>
      <c r="F58" s="510"/>
      <c r="G58" s="510"/>
      <c r="H58" s="577"/>
      <c r="I58" s="510"/>
      <c r="J58" s="509"/>
      <c r="K58" s="418"/>
      <c r="L58" s="423"/>
    </row>
    <row r="59" spans="1:12" s="424" customFormat="1">
      <c r="A59" s="52" t="s">
        <v>115</v>
      </c>
      <c r="B59" s="558" t="s">
        <v>255</v>
      </c>
      <c r="C59" s="496"/>
      <c r="D59" s="341">
        <v>46130</v>
      </c>
      <c r="E59" s="347" t="s">
        <v>260</v>
      </c>
      <c r="F59" s="356">
        <v>2000</v>
      </c>
      <c r="G59" s="499">
        <f>SUM(G60:G64)</f>
        <v>645</v>
      </c>
      <c r="H59" s="551">
        <f>Tracking_SI3[[#This Row],[Số  lượng trên ĐH]]-Tracking_SI3[[#This Row],[Số  lượng giao]]</f>
        <v>1355</v>
      </c>
      <c r="I59" s="504">
        <v>42000</v>
      </c>
      <c r="J59" s="346"/>
      <c r="K59" s="45"/>
      <c r="L59" s="442"/>
    </row>
    <row r="60" spans="1:12" s="424" customFormat="1">
      <c r="A60" s="422"/>
      <c r="B60" s="421" t="s">
        <v>255</v>
      </c>
      <c r="C60" s="408"/>
      <c r="D60" s="288">
        <v>46147</v>
      </c>
      <c r="E60" s="364" t="s">
        <v>260</v>
      </c>
      <c r="F60" s="523"/>
      <c r="G60" s="514">
        <v>645</v>
      </c>
      <c r="H60" s="566"/>
      <c r="I60" s="523"/>
      <c r="J60" s="350"/>
      <c r="K60" s="412"/>
      <c r="L60" s="512"/>
    </row>
    <row r="61" spans="1:12" s="424" customFormat="1">
      <c r="A61" s="422"/>
      <c r="B61" s="421" t="s">
        <v>255</v>
      </c>
      <c r="C61" s="408"/>
      <c r="D61" s="116"/>
      <c r="E61" s="364" t="s">
        <v>260</v>
      </c>
      <c r="F61" s="523"/>
      <c r="G61" s="514"/>
      <c r="H61" s="566"/>
      <c r="I61" s="523"/>
      <c r="J61" s="350"/>
      <c r="K61" s="412"/>
      <c r="L61" s="512"/>
    </row>
    <row r="62" spans="1:12" s="424" customFormat="1">
      <c r="A62" s="422"/>
      <c r="B62" s="421" t="s">
        <v>255</v>
      </c>
      <c r="C62" s="408"/>
      <c r="D62" s="116"/>
      <c r="E62" s="364" t="s">
        <v>260</v>
      </c>
      <c r="F62" s="523"/>
      <c r="G62" s="514"/>
      <c r="H62" s="566"/>
      <c r="I62" s="523"/>
      <c r="J62" s="350"/>
      <c r="K62" s="412"/>
      <c r="L62" s="512"/>
    </row>
    <row r="63" spans="1:12" s="424" customFormat="1">
      <c r="A63" s="422"/>
      <c r="B63" s="421" t="s">
        <v>255</v>
      </c>
      <c r="C63" s="408"/>
      <c r="D63" s="116"/>
      <c r="E63" s="364" t="s">
        <v>260</v>
      </c>
      <c r="F63" s="523"/>
      <c r="G63" s="514"/>
      <c r="H63" s="566"/>
      <c r="I63" s="523"/>
      <c r="J63" s="350"/>
      <c r="K63" s="412"/>
      <c r="L63" s="512"/>
    </row>
    <row r="64" spans="1:12" s="424" customFormat="1">
      <c r="A64" s="422"/>
      <c r="B64" s="421" t="s">
        <v>255</v>
      </c>
      <c r="C64" s="408"/>
      <c r="D64" s="116"/>
      <c r="E64" s="364" t="s">
        <v>260</v>
      </c>
      <c r="F64" s="523"/>
      <c r="G64" s="514"/>
      <c r="H64" s="566"/>
      <c r="I64" s="523"/>
      <c r="J64" s="350"/>
      <c r="K64" s="412"/>
      <c r="L64" s="512"/>
    </row>
    <row r="65" spans="1:12" s="424" customFormat="1">
      <c r="A65" s="58" t="s">
        <v>106</v>
      </c>
      <c r="B65" s="507" t="s">
        <v>237</v>
      </c>
      <c r="C65" s="417" t="s">
        <v>238</v>
      </c>
      <c r="D65" s="508"/>
      <c r="E65" s="418"/>
      <c r="F65" s="510"/>
      <c r="G65" s="510" t="s">
        <v>290</v>
      </c>
      <c r="H65" s="577" t="s">
        <v>289</v>
      </c>
      <c r="I65" s="510"/>
      <c r="J65" s="509"/>
      <c r="K65" s="418"/>
      <c r="L65" s="423"/>
    </row>
    <row r="66" spans="1:12" s="424" customFormat="1">
      <c r="A66" s="52" t="s">
        <v>115</v>
      </c>
      <c r="B66" s="518" t="s">
        <v>237</v>
      </c>
      <c r="C66" s="496"/>
      <c r="D66" s="341">
        <v>46097</v>
      </c>
      <c r="E66" s="347" t="s">
        <v>248</v>
      </c>
      <c r="F66" s="356">
        <v>1000</v>
      </c>
      <c r="G66" s="499">
        <f>SUM(G67:G69)</f>
        <v>457</v>
      </c>
      <c r="H66" s="551">
        <f>Tracking_SI3[[#This Row],[Số  lượng trên ĐH]]-Tracking_SI3[[#This Row],[Số  lượng giao]]</f>
        <v>543</v>
      </c>
      <c r="I66" s="504">
        <v>40000</v>
      </c>
      <c r="J66" s="346"/>
      <c r="K66" s="45"/>
      <c r="L66" s="442"/>
    </row>
    <row r="67" spans="1:12" s="424" customFormat="1">
      <c r="A67" s="422"/>
      <c r="B67" s="422"/>
      <c r="C67" s="408"/>
      <c r="D67" s="116" t="s">
        <v>291</v>
      </c>
      <c r="E67" s="364" t="s">
        <v>248</v>
      </c>
      <c r="F67" s="523"/>
      <c r="G67" s="514">
        <v>457</v>
      </c>
      <c r="H67" s="566"/>
      <c r="I67" s="523"/>
      <c r="J67" s="350"/>
      <c r="K67" s="412"/>
      <c r="L67" s="512"/>
    </row>
    <row r="68" spans="1:12" s="424" customFormat="1">
      <c r="A68" s="422"/>
      <c r="B68" s="422"/>
      <c r="C68" s="408"/>
      <c r="D68" s="116"/>
      <c r="E68" s="364" t="s">
        <v>248</v>
      </c>
      <c r="F68" s="523"/>
      <c r="G68" s="514"/>
      <c r="H68" s="566"/>
      <c r="I68" s="523"/>
      <c r="J68" s="350"/>
      <c r="K68" s="412"/>
      <c r="L68" s="512"/>
    </row>
    <row r="69" spans="1:12" s="424" customFormat="1">
      <c r="A69" s="422"/>
      <c r="B69" s="422"/>
      <c r="C69" s="408"/>
      <c r="D69" s="116"/>
      <c r="E69" s="364" t="s">
        <v>248</v>
      </c>
      <c r="F69" s="523"/>
      <c r="G69" s="514"/>
      <c r="H69" s="566"/>
      <c r="I69" s="523"/>
      <c r="J69" s="350"/>
      <c r="K69" s="412"/>
      <c r="L69" s="512"/>
    </row>
    <row r="70" spans="1:12" s="424" customFormat="1">
      <c r="A70" s="58" t="s">
        <v>106</v>
      </c>
      <c r="B70" s="507" t="s">
        <v>234</v>
      </c>
      <c r="C70" s="417" t="s">
        <v>239</v>
      </c>
      <c r="D70" s="509"/>
      <c r="E70" s="540"/>
      <c r="F70" s="541"/>
      <c r="G70" s="541"/>
      <c r="H70" s="578"/>
      <c r="I70" s="541"/>
      <c r="J70" s="542"/>
      <c r="K70" s="540"/>
      <c r="L70" s="423"/>
    </row>
    <row r="71" spans="1:12" hidden="1">
      <c r="A71" s="545" t="s">
        <v>115</v>
      </c>
      <c r="B71" s="545" t="s">
        <v>234</v>
      </c>
      <c r="C71" s="546"/>
      <c r="D71" s="113">
        <v>46097</v>
      </c>
      <c r="E71" s="29" t="s">
        <v>248</v>
      </c>
      <c r="F71" s="127">
        <v>1200</v>
      </c>
      <c r="G71" s="547">
        <f>SUM(G72)</f>
        <v>1200</v>
      </c>
      <c r="H71" s="548">
        <f>Tracking_SI3[[#This Row],[Số  lượng trên ĐH]]-Tracking_SI3[[#This Row],[Số  lượng giao]]</f>
        <v>0</v>
      </c>
      <c r="I71" s="549">
        <v>38500</v>
      </c>
      <c r="J71" s="127" t="s">
        <v>116</v>
      </c>
      <c r="K71" s="29"/>
      <c r="L71" s="550"/>
    </row>
    <row r="72" spans="1:12" hidden="1">
      <c r="A72" s="422"/>
      <c r="B72" s="421" t="s">
        <v>234</v>
      </c>
      <c r="C72" s="408"/>
      <c r="D72" s="116" t="s">
        <v>251</v>
      </c>
      <c r="E72" s="409"/>
      <c r="F72" s="460"/>
      <c r="G72" s="514">
        <v>1200</v>
      </c>
      <c r="H72" s="566"/>
      <c r="I72" s="460"/>
      <c r="J72" s="513" t="s">
        <v>118</v>
      </c>
      <c r="K72" s="409"/>
      <c r="L72" s="512"/>
    </row>
    <row r="73" spans="1:12">
      <c r="A73" s="52" t="s">
        <v>115</v>
      </c>
      <c r="B73" s="558" t="s">
        <v>234</v>
      </c>
      <c r="C73" s="496"/>
      <c r="D73" s="341">
        <v>46130</v>
      </c>
      <c r="E73" s="347" t="s">
        <v>260</v>
      </c>
      <c r="F73" s="356">
        <v>1000</v>
      </c>
      <c r="G73" s="499">
        <f>SUM(G74:G76)</f>
        <v>1438</v>
      </c>
      <c r="H73" s="551">
        <f>Tracking_SI3[[#This Row],[Số  lượng trên ĐH]]-Tracking_SI3[[#This Row],[Số  lượng giao]]</f>
        <v>-438</v>
      </c>
      <c r="I73" s="504">
        <v>42000</v>
      </c>
      <c r="J73" s="346"/>
      <c r="K73" s="45"/>
      <c r="L73" s="442"/>
    </row>
    <row r="74" spans="1:12">
      <c r="A74" s="58" t="s">
        <v>118</v>
      </c>
      <c r="B74" s="421" t="s">
        <v>234</v>
      </c>
      <c r="C74" s="408"/>
      <c r="D74" s="116">
        <v>46130</v>
      </c>
      <c r="E74" s="560" t="s">
        <v>260</v>
      </c>
      <c r="F74" s="411"/>
      <c r="G74" s="516">
        <v>961</v>
      </c>
      <c r="H74" s="568"/>
      <c r="I74" s="453"/>
      <c r="J74" s="411"/>
      <c r="K74" s="410"/>
      <c r="L74" s="525"/>
    </row>
    <row r="75" spans="1:12">
      <c r="A75" s="58"/>
      <c r="B75" s="421" t="s">
        <v>234</v>
      </c>
      <c r="C75" s="408"/>
      <c r="D75" s="215">
        <v>46135</v>
      </c>
      <c r="E75" s="560" t="s">
        <v>260</v>
      </c>
      <c r="F75" s="411"/>
      <c r="G75" s="516">
        <v>477</v>
      </c>
      <c r="H75" s="568"/>
      <c r="I75" s="453"/>
      <c r="J75" s="411"/>
      <c r="K75" s="410"/>
      <c r="L75" s="525"/>
    </row>
    <row r="76" spans="1:12">
      <c r="A76" s="58"/>
      <c r="B76" s="421" t="s">
        <v>234</v>
      </c>
      <c r="C76" s="408"/>
      <c r="D76" s="215"/>
      <c r="E76" s="560" t="s">
        <v>260</v>
      </c>
      <c r="F76" s="411"/>
      <c r="G76" s="516"/>
      <c r="H76" s="568"/>
      <c r="I76" s="453"/>
      <c r="J76" s="411"/>
      <c r="K76" s="410"/>
      <c r="L76" s="525"/>
    </row>
    <row r="77" spans="1:12">
      <c r="A77" s="58" t="s">
        <v>106</v>
      </c>
      <c r="B77" s="507" t="s">
        <v>243</v>
      </c>
      <c r="C77" s="417" t="s">
        <v>242</v>
      </c>
      <c r="D77" s="509"/>
      <c r="E77" s="540"/>
      <c r="F77" s="541"/>
      <c r="G77" s="541"/>
      <c r="H77" s="578"/>
      <c r="I77" s="541"/>
      <c r="J77" s="543"/>
      <c r="K77" s="544"/>
      <c r="L77" s="512"/>
    </row>
    <row r="78" spans="1:12">
      <c r="A78" s="52" t="s">
        <v>115</v>
      </c>
      <c r="B78" s="518" t="s">
        <v>243</v>
      </c>
      <c r="C78" s="496"/>
      <c r="D78" s="341">
        <v>46097</v>
      </c>
      <c r="E78" s="347" t="s">
        <v>248</v>
      </c>
      <c r="F78" s="356">
        <v>2000</v>
      </c>
      <c r="G78" s="499">
        <f>SUM(G79:G82)</f>
        <v>1661</v>
      </c>
      <c r="H78" s="551">
        <f>Tracking_SI3[[#This Row],[Số  lượng trên ĐH]]-Tracking_SI3[[#This Row],[Số  lượng giao]]</f>
        <v>339</v>
      </c>
      <c r="I78" s="504">
        <v>38500</v>
      </c>
      <c r="J78" s="346"/>
      <c r="K78" s="45"/>
      <c r="L78" s="442"/>
    </row>
    <row r="79" spans="1:12">
      <c r="A79" s="58"/>
      <c r="B79" s="421" t="s">
        <v>243</v>
      </c>
      <c r="C79" s="408"/>
      <c r="D79" s="116" t="s">
        <v>251</v>
      </c>
      <c r="E79" s="560" t="s">
        <v>248</v>
      </c>
      <c r="F79" s="453"/>
      <c r="G79" s="479">
        <v>1661</v>
      </c>
      <c r="H79" s="568"/>
      <c r="I79" s="453"/>
      <c r="J79" s="411"/>
      <c r="K79" s="410"/>
      <c r="L79" s="326"/>
    </row>
    <row r="80" spans="1:12">
      <c r="A80" s="58"/>
      <c r="B80" s="421" t="s">
        <v>243</v>
      </c>
      <c r="C80" s="408"/>
      <c r="D80" s="111"/>
      <c r="E80" s="560" t="s">
        <v>248</v>
      </c>
      <c r="F80" s="453"/>
      <c r="G80" s="479"/>
      <c r="H80" s="568"/>
      <c r="I80" s="453"/>
      <c r="J80" s="411"/>
      <c r="K80" s="410"/>
      <c r="L80" s="326"/>
    </row>
    <row r="81" spans="1:12">
      <c r="A81" s="58"/>
      <c r="B81" s="421" t="s">
        <v>243</v>
      </c>
      <c r="C81" s="408"/>
      <c r="D81" s="111"/>
      <c r="E81" s="409"/>
      <c r="F81" s="453"/>
      <c r="G81" s="479"/>
      <c r="H81" s="568"/>
      <c r="I81" s="453"/>
      <c r="J81" s="411"/>
      <c r="K81" s="410"/>
      <c r="L81" s="326"/>
    </row>
    <row r="82" spans="1:12">
      <c r="A82" s="57"/>
      <c r="B82" s="421" t="s">
        <v>243</v>
      </c>
      <c r="C82" s="46"/>
      <c r="D82" s="108"/>
      <c r="E82" s="26"/>
      <c r="F82" s="449"/>
      <c r="G82" s="478"/>
      <c r="H82" s="579"/>
      <c r="I82" s="460"/>
      <c r="J82" s="131"/>
      <c r="K82" s="26"/>
      <c r="L82" s="323"/>
    </row>
    <row r="83" spans="1:12">
      <c r="A83" s="58" t="s">
        <v>106</v>
      </c>
      <c r="B83" s="521" t="s">
        <v>240</v>
      </c>
      <c r="C83" s="398" t="s">
        <v>241</v>
      </c>
      <c r="D83" s="399"/>
      <c r="E83" s="400"/>
      <c r="F83" s="402"/>
      <c r="G83" s="485"/>
      <c r="H83" s="580"/>
      <c r="I83" s="456"/>
      <c r="J83" s="402"/>
      <c r="K83" s="401"/>
      <c r="L83" s="323"/>
    </row>
    <row r="84" spans="1:12" s="107" customFormat="1">
      <c r="A84" s="545" t="s">
        <v>115</v>
      </c>
      <c r="B84" s="545" t="s">
        <v>240</v>
      </c>
      <c r="C84" s="546"/>
      <c r="D84" s="113">
        <v>46121</v>
      </c>
      <c r="E84" s="595" t="s">
        <v>249</v>
      </c>
      <c r="F84" s="127">
        <v>1000</v>
      </c>
      <c r="G84" s="547">
        <f>SUM(G85:G86)</f>
        <v>1112</v>
      </c>
      <c r="H84" s="643">
        <f>Tracking_SI3[[#This Row],[Số  lượng trên ĐH]]-Tracking_SI3[[#This Row],[Số  lượng giao]]</f>
        <v>-112</v>
      </c>
      <c r="I84" s="538">
        <v>45000</v>
      </c>
      <c r="J84" s="195" t="s">
        <v>116</v>
      </c>
      <c r="K84" s="29"/>
      <c r="L84" s="539"/>
    </row>
    <row r="85" spans="1:12">
      <c r="A85" s="57"/>
      <c r="B85" s="421" t="s">
        <v>240</v>
      </c>
      <c r="C85" s="46"/>
      <c r="D85" s="108">
        <v>46123</v>
      </c>
      <c r="E85" s="26" t="s">
        <v>249</v>
      </c>
      <c r="F85" s="131"/>
      <c r="G85" s="515">
        <v>747</v>
      </c>
      <c r="H85" s="579"/>
      <c r="I85" s="460"/>
      <c r="J85" s="466" t="s">
        <v>118</v>
      </c>
      <c r="K85" s="26"/>
      <c r="L85" s="441"/>
    </row>
    <row r="86" spans="1:12">
      <c r="A86" s="58" t="s">
        <v>118</v>
      </c>
      <c r="B86" s="421" t="s">
        <v>240</v>
      </c>
      <c r="C86" s="408"/>
      <c r="D86" s="108">
        <v>46130</v>
      </c>
      <c r="E86" s="26" t="s">
        <v>249</v>
      </c>
      <c r="F86" s="411"/>
      <c r="G86" s="594">
        <v>365</v>
      </c>
      <c r="H86" s="568"/>
      <c r="I86" s="453"/>
      <c r="J86" s="411" t="s">
        <v>118</v>
      </c>
      <c r="K86" s="410"/>
      <c r="L86" s="327"/>
    </row>
    <row r="87" spans="1:12">
      <c r="A87" s="58" t="s">
        <v>115</v>
      </c>
      <c r="B87" s="558" t="s">
        <v>240</v>
      </c>
      <c r="C87" s="505"/>
      <c r="D87" s="341">
        <v>46130</v>
      </c>
      <c r="E87" s="497" t="s">
        <v>259</v>
      </c>
      <c r="F87" s="356">
        <v>1000</v>
      </c>
      <c r="G87" s="499">
        <f>SUM(G88:G95)</f>
        <v>710</v>
      </c>
      <c r="H87" s="551">
        <f>Tracking_SI3[[#This Row],[Số  lượng trên ĐH]]-Tracking_SI3[[#This Row],[Số  lượng giao]]</f>
        <v>290</v>
      </c>
      <c r="I87" s="504">
        <v>45500</v>
      </c>
      <c r="J87" s="127"/>
      <c r="K87" s="24"/>
      <c r="L87" s="323"/>
    </row>
    <row r="88" spans="1:12">
      <c r="A88" s="58"/>
      <c r="B88" s="421" t="s">
        <v>240</v>
      </c>
      <c r="C88" s="408"/>
      <c r="D88" s="288">
        <v>46147</v>
      </c>
      <c r="E88" s="26" t="s">
        <v>259</v>
      </c>
      <c r="F88" s="411"/>
      <c r="G88" s="594">
        <v>210</v>
      </c>
      <c r="H88" s="568"/>
      <c r="I88" s="453"/>
      <c r="J88" s="411"/>
      <c r="K88" s="410"/>
      <c r="L88" s="327"/>
    </row>
    <row r="89" spans="1:12">
      <c r="A89" s="58"/>
      <c r="B89" s="421" t="s">
        <v>240</v>
      </c>
      <c r="C89" s="408"/>
      <c r="D89" s="288">
        <v>46192</v>
      </c>
      <c r="E89" s="26" t="s">
        <v>259</v>
      </c>
      <c r="F89" s="411"/>
      <c r="G89" s="516"/>
      <c r="H89" s="568">
        <f>Tracking_SI3[[#This Row],[Số  lượng giao]]-Tracking_SI3[[#This Row],[Số  lượng trên ĐH]]</f>
        <v>0</v>
      </c>
      <c r="I89" s="453"/>
      <c r="J89" s="411"/>
      <c r="K89" s="410"/>
      <c r="L89" s="327"/>
    </row>
    <row r="90" spans="1:12">
      <c r="A90" s="58"/>
      <c r="B90" s="421"/>
      <c r="C90" s="408"/>
      <c r="D90" s="288"/>
      <c r="E90" s="409"/>
      <c r="F90" s="411"/>
      <c r="G90" s="516">
        <v>500</v>
      </c>
      <c r="H90" s="568">
        <f>Tracking_SI3[[#This Row],[Số  lượng giao]]-Tracking_SI3[[#This Row],[Số  lượng trên ĐH]]</f>
        <v>500</v>
      </c>
      <c r="I90" s="453"/>
      <c r="J90" s="411"/>
      <c r="K90" s="410"/>
      <c r="L90" s="327"/>
    </row>
    <row r="91" spans="1:12">
      <c r="A91" s="58"/>
      <c r="B91" s="421"/>
      <c r="C91" s="408"/>
      <c r="D91" s="288"/>
      <c r="E91" s="409"/>
      <c r="F91" s="411"/>
      <c r="G91" s="516">
        <f t="shared" ref="G91" si="2">SUM(G92:G94)</f>
        <v>0</v>
      </c>
      <c r="H91" s="568">
        <f>Tracking_SI3[[#This Row],[Số  lượng giao]]-Tracking_SI3[[#This Row],[Số  lượng trên ĐH]]</f>
        <v>0</v>
      </c>
      <c r="I91" s="453"/>
      <c r="J91" s="411"/>
      <c r="K91" s="410"/>
      <c r="L91" s="327"/>
    </row>
    <row r="92" spans="1:12">
      <c r="A92" s="58" t="s">
        <v>115</v>
      </c>
      <c r="B92" s="558" t="s">
        <v>240</v>
      </c>
      <c r="C92" s="496"/>
      <c r="D92" s="341">
        <v>46182</v>
      </c>
      <c r="E92" s="347" t="s">
        <v>249</v>
      </c>
      <c r="F92" s="356">
        <v>2000</v>
      </c>
      <c r="G92" s="516">
        <f>SUM(G93:G95)</f>
        <v>0</v>
      </c>
      <c r="H92" s="643">
        <f>Tracking_SI3[[#This Row],[Số  lượng trên ĐH]]-Tracking_SI3[[#This Row],[Số  lượng giao]]</f>
        <v>2000</v>
      </c>
      <c r="I92" s="504">
        <v>43000</v>
      </c>
      <c r="J92" s="411"/>
      <c r="K92" s="410"/>
      <c r="L92" s="327"/>
    </row>
    <row r="93" spans="1:12">
      <c r="A93" s="58"/>
      <c r="B93" s="421" t="s">
        <v>240</v>
      </c>
      <c r="C93" s="408"/>
      <c r="D93" s="288"/>
      <c r="E93" s="409"/>
      <c r="F93" s="411"/>
      <c r="G93" s="516"/>
      <c r="H93" s="568">
        <f>Tracking_SI3[[#This Row],[Số  lượng giao]]-Tracking_SI3[[#This Row],[Số  lượng trên ĐH]]</f>
        <v>0</v>
      </c>
      <c r="I93" s="453"/>
      <c r="J93" s="411"/>
      <c r="K93" s="410"/>
      <c r="L93" s="327"/>
    </row>
    <row r="94" spans="1:12">
      <c r="A94" s="58"/>
      <c r="B94" s="421" t="s">
        <v>240</v>
      </c>
      <c r="C94" s="408"/>
      <c r="D94" s="288"/>
      <c r="E94" s="409"/>
      <c r="F94" s="411"/>
      <c r="G94" s="516"/>
      <c r="H94" s="568">
        <f>Tracking_SI3[[#This Row],[Số  lượng giao]]-Tracking_SI3[[#This Row],[Số  lượng trên ĐH]]</f>
        <v>0</v>
      </c>
      <c r="I94" s="453"/>
      <c r="J94" s="411"/>
      <c r="K94" s="410"/>
      <c r="L94" s="327"/>
    </row>
    <row r="95" spans="1:12">
      <c r="A95" s="58"/>
      <c r="B95" s="421" t="s">
        <v>240</v>
      </c>
      <c r="C95" s="408"/>
      <c r="D95" s="288"/>
      <c r="E95" s="409"/>
      <c r="F95" s="411"/>
      <c r="G95" s="516"/>
      <c r="H95" s="568">
        <f>Tracking_SI3[[#This Row],[Số  lượng giao]]-Tracking_SI3[[#This Row],[Số  lượng trên ĐH]]</f>
        <v>0</v>
      </c>
      <c r="I95" s="453"/>
      <c r="J95" s="411"/>
      <c r="K95" s="410"/>
      <c r="L95" s="327"/>
    </row>
    <row r="96" spans="1:12">
      <c r="A96" s="58" t="s">
        <v>106</v>
      </c>
      <c r="B96" s="521" t="s">
        <v>254</v>
      </c>
      <c r="C96" s="650" t="s">
        <v>252</v>
      </c>
      <c r="D96" s="651"/>
      <c r="E96" s="652"/>
      <c r="F96" s="653"/>
      <c r="G96" s="654"/>
      <c r="H96" s="655"/>
      <c r="I96" s="656"/>
      <c r="J96" s="653"/>
      <c r="K96" s="657"/>
      <c r="L96" s="323"/>
    </row>
    <row r="97" spans="1:12">
      <c r="A97" s="58" t="s">
        <v>115</v>
      </c>
      <c r="B97" s="558" t="s">
        <v>254</v>
      </c>
      <c r="C97" s="505"/>
      <c r="D97" s="341">
        <v>46130</v>
      </c>
      <c r="E97" s="497" t="s">
        <v>259</v>
      </c>
      <c r="F97" s="356">
        <v>2000</v>
      </c>
      <c r="G97" s="499">
        <f>SUM(G98:G101)</f>
        <v>2237</v>
      </c>
      <c r="H97" s="551">
        <f>Tracking_SI3[[#This Row],[Số  lượng trên ĐH]]-Tracking_SI3[[#This Row],[Số  lượng giao]]</f>
        <v>-237</v>
      </c>
      <c r="I97" s="504" t="s">
        <v>261</v>
      </c>
      <c r="J97" s="127"/>
      <c r="K97" s="24"/>
      <c r="L97" s="323"/>
    </row>
    <row r="98" spans="1:12">
      <c r="A98" s="57" t="s">
        <v>118</v>
      </c>
      <c r="B98" s="421" t="s">
        <v>254</v>
      </c>
      <c r="C98" s="46"/>
      <c r="D98" s="108">
        <v>46130</v>
      </c>
      <c r="E98" s="26" t="s">
        <v>259</v>
      </c>
      <c r="F98" s="131"/>
      <c r="G98" s="478">
        <v>165</v>
      </c>
      <c r="H98" s="579"/>
      <c r="I98" s="460"/>
      <c r="J98" s="131"/>
      <c r="K98" s="26"/>
      <c r="L98" s="323"/>
    </row>
    <row r="99" spans="1:12">
      <c r="A99" s="57"/>
      <c r="B99" s="421" t="s">
        <v>254</v>
      </c>
      <c r="C99" s="46"/>
      <c r="D99" s="108"/>
      <c r="E99" s="26" t="s">
        <v>259</v>
      </c>
      <c r="F99" s="131"/>
      <c r="G99" s="478">
        <f>SUM(G100:G106)</f>
        <v>1335</v>
      </c>
      <c r="H99" s="579"/>
      <c r="I99" s="460"/>
      <c r="J99" s="131"/>
      <c r="K99" s="26"/>
      <c r="L99" s="323"/>
    </row>
    <row r="100" spans="1:12">
      <c r="A100" s="57"/>
      <c r="B100" s="421" t="s">
        <v>254</v>
      </c>
      <c r="C100" s="46"/>
      <c r="D100" s="108">
        <v>46186</v>
      </c>
      <c r="E100" s="26" t="s">
        <v>259</v>
      </c>
      <c r="F100" s="131"/>
      <c r="G100" s="478">
        <v>437</v>
      </c>
      <c r="H100" s="579"/>
      <c r="I100" s="460"/>
      <c r="J100" s="131"/>
      <c r="K100" s="26"/>
      <c r="L100" s="323"/>
    </row>
    <row r="101" spans="1:12">
      <c r="A101" s="58"/>
      <c r="B101" s="72"/>
      <c r="C101" s="62"/>
      <c r="D101" s="661">
        <v>46192</v>
      </c>
      <c r="E101" s="659"/>
      <c r="F101" s="646"/>
      <c r="G101" s="647">
        <v>300</v>
      </c>
      <c r="H101" s="575">
        <f>Tracking_SI3[[#This Row],[Số  lượng giao]]-Tracking_SI3[[#This Row],[Số  lượng trên ĐH]]</f>
        <v>300</v>
      </c>
      <c r="I101" s="648"/>
      <c r="J101" s="646"/>
      <c r="K101" s="660"/>
      <c r="L101" s="326"/>
    </row>
    <row r="102" spans="1:12">
      <c r="A102" s="58"/>
      <c r="B102" s="72"/>
      <c r="C102" s="62"/>
      <c r="D102" s="658"/>
      <c r="E102" s="645"/>
      <c r="F102" s="646"/>
      <c r="G102" s="647"/>
      <c r="H102" s="575">
        <f>Tracking_SI3[[#This Row],[Số  lượng giao]]-Tracking_SI3[[#This Row],[Số  lượng trên ĐH]]</f>
        <v>0</v>
      </c>
      <c r="I102" s="648"/>
      <c r="J102" s="646"/>
      <c r="K102" s="649"/>
      <c r="L102" s="326"/>
    </row>
    <row r="103" spans="1:12">
      <c r="A103" s="58"/>
      <c r="B103" s="72"/>
      <c r="C103" s="62"/>
      <c r="D103" s="658"/>
      <c r="E103" s="645"/>
      <c r="F103" s="646"/>
      <c r="G103" s="647"/>
      <c r="H103" s="575">
        <f>Tracking_SI3[[#This Row],[Số  lượng giao]]-Tracking_SI3[[#This Row],[Số  lượng trên ĐH]]</f>
        <v>0</v>
      </c>
      <c r="I103" s="648"/>
      <c r="J103" s="646"/>
      <c r="K103" s="649"/>
      <c r="L103" s="326"/>
    </row>
    <row r="104" spans="1:12">
      <c r="A104" s="57"/>
      <c r="B104" s="421" t="s">
        <v>254</v>
      </c>
      <c r="C104" s="46"/>
      <c r="D104" s="108"/>
      <c r="E104" s="26" t="s">
        <v>259</v>
      </c>
      <c r="F104" s="131"/>
      <c r="G104" s="478"/>
      <c r="H104" s="579"/>
      <c r="I104" s="460"/>
      <c r="J104" s="131"/>
      <c r="K104" s="26"/>
      <c r="L104" s="323"/>
    </row>
    <row r="105" spans="1:12">
      <c r="A105" s="58" t="s">
        <v>106</v>
      </c>
      <c r="B105" s="521" t="s">
        <v>223</v>
      </c>
      <c r="C105" s="398" t="s">
        <v>265</v>
      </c>
      <c r="D105" s="399"/>
      <c r="E105" s="400"/>
      <c r="F105" s="402"/>
      <c r="G105" s="485"/>
      <c r="H105" s="580"/>
      <c r="I105" s="456"/>
      <c r="J105" s="402"/>
      <c r="K105" s="401"/>
      <c r="L105" s="323"/>
    </row>
    <row r="106" spans="1:12">
      <c r="A106" s="58" t="s">
        <v>115</v>
      </c>
      <c r="B106" s="559" t="s">
        <v>223</v>
      </c>
      <c r="C106" s="505"/>
      <c r="D106" s="341"/>
      <c r="E106" s="497" t="s">
        <v>259</v>
      </c>
      <c r="F106" s="356">
        <v>2000</v>
      </c>
      <c r="G106" s="506">
        <f>SUM(G107:G115)</f>
        <v>598</v>
      </c>
      <c r="H106" s="551">
        <f>Tracking_SI3[[#This Row],[Số  lượng trên ĐH]]-Tracking_SI3[[#This Row],[Số  lượng giao]]</f>
        <v>1402</v>
      </c>
      <c r="I106" s="504">
        <v>45500</v>
      </c>
      <c r="J106" s="127"/>
      <c r="K106" s="24"/>
      <c r="L106" s="323"/>
    </row>
    <row r="107" spans="1:12">
      <c r="A107" s="57"/>
      <c r="B107" s="421" t="s">
        <v>223</v>
      </c>
      <c r="C107" s="46"/>
      <c r="D107" s="288">
        <v>46147</v>
      </c>
      <c r="E107" s="26" t="s">
        <v>259</v>
      </c>
      <c r="F107" s="131"/>
      <c r="G107" s="478">
        <v>265</v>
      </c>
      <c r="H107" s="579"/>
      <c r="I107" s="460"/>
      <c r="J107" s="131"/>
      <c r="K107" s="26"/>
      <c r="L107" s="323"/>
    </row>
    <row r="108" spans="1:12">
      <c r="A108" s="57"/>
      <c r="B108" s="421" t="s">
        <v>223</v>
      </c>
      <c r="C108" s="46"/>
      <c r="D108" s="108">
        <v>46186</v>
      </c>
      <c r="E108" s="26" t="s">
        <v>259</v>
      </c>
      <c r="F108" s="131"/>
      <c r="G108" s="478">
        <v>333</v>
      </c>
      <c r="H108" s="579"/>
      <c r="I108" s="460"/>
      <c r="J108" s="131"/>
      <c r="K108" s="26"/>
      <c r="L108" s="323"/>
    </row>
    <row r="109" spans="1:12">
      <c r="A109" s="57"/>
      <c r="B109" s="421" t="s">
        <v>223</v>
      </c>
      <c r="C109" s="46"/>
      <c r="D109" s="108"/>
      <c r="E109" s="26" t="s">
        <v>259</v>
      </c>
      <c r="F109" s="131"/>
      <c r="G109" s="478">
        <f>SUM(G110:G114)</f>
        <v>0</v>
      </c>
      <c r="H109" s="579">
        <f>Tracking_SI3[[#This Row],[Số  lượng giao]]-Tracking_SI3[[#This Row],[Số  lượng trên ĐH]]</f>
        <v>0</v>
      </c>
      <c r="I109" s="460"/>
      <c r="J109" s="131"/>
      <c r="K109" s="26"/>
      <c r="L109" s="323"/>
    </row>
    <row r="110" spans="1:12">
      <c r="A110" s="57" t="s">
        <v>115</v>
      </c>
      <c r="B110" s="534" t="s">
        <v>223</v>
      </c>
      <c r="C110" s="318"/>
      <c r="D110" s="341">
        <v>46130</v>
      </c>
      <c r="E110" s="497" t="s">
        <v>259</v>
      </c>
      <c r="F110" s="641">
        <v>1000</v>
      </c>
      <c r="G110" s="642">
        <f>SUM(G111)</f>
        <v>0</v>
      </c>
      <c r="H110" s="643">
        <f>Tracking_SI3[[#This Row],[Số  lượng trên ĐH]]-Tracking_SI3[[#This Row],[Số  lượng giao]]</f>
        <v>1000</v>
      </c>
      <c r="I110" s="644">
        <v>43000</v>
      </c>
      <c r="J110" s="131"/>
      <c r="K110" s="26"/>
      <c r="L110" s="323"/>
    </row>
    <row r="111" spans="1:12">
      <c r="A111" s="57"/>
      <c r="B111" s="421" t="s">
        <v>223</v>
      </c>
      <c r="C111" s="46"/>
      <c r="D111" s="108"/>
      <c r="E111" s="26"/>
      <c r="F111" s="131"/>
      <c r="G111" s="478">
        <f>SUM(G114:G116)</f>
        <v>0</v>
      </c>
      <c r="H111" s="579">
        <f>Tracking_SI3[[#This Row],[Số  lượng giao]]-Tracking_SI3[[#This Row],[Số  lượng trên ĐH]]</f>
        <v>0</v>
      </c>
      <c r="I111" s="460"/>
      <c r="J111" s="131"/>
      <c r="K111" s="26"/>
      <c r="L111" s="323"/>
    </row>
    <row r="112" spans="1:12">
      <c r="A112" s="58" t="s">
        <v>115</v>
      </c>
      <c r="B112" s="534" t="s">
        <v>223</v>
      </c>
      <c r="C112" s="318"/>
      <c r="D112" s="341">
        <v>46182</v>
      </c>
      <c r="E112" s="497" t="s">
        <v>249</v>
      </c>
      <c r="F112" s="641">
        <v>1000</v>
      </c>
      <c r="G112" s="642">
        <f>SUM(G113:G114)</f>
        <v>0</v>
      </c>
      <c r="H112" s="643">
        <f>Tracking_SI3[[#This Row],[Số  lượng trên ĐH]]-Tracking_SI3[[#This Row],[Số  lượng giao]]</f>
        <v>1000</v>
      </c>
      <c r="I112" s="504">
        <v>43000</v>
      </c>
      <c r="J112" s="131"/>
      <c r="K112" s="26"/>
      <c r="L112" s="326"/>
    </row>
    <row r="113" spans="1:12">
      <c r="A113" s="58"/>
      <c r="B113" s="421" t="s">
        <v>223</v>
      </c>
      <c r="C113" s="62"/>
      <c r="D113" s="658"/>
      <c r="E113" s="645"/>
      <c r="F113" s="646"/>
      <c r="G113" s="647">
        <f t="shared" ref="G113" si="3">SUM(G114:G116)</f>
        <v>0</v>
      </c>
      <c r="H113" s="575">
        <f>Tracking_SI3[[#This Row],[Số  lượng giao]]-Tracking_SI3[[#This Row],[Số  lượng trên ĐH]]</f>
        <v>0</v>
      </c>
      <c r="I113" s="648"/>
      <c r="J113" s="646"/>
      <c r="K113" s="649"/>
      <c r="L113" s="326"/>
    </row>
    <row r="114" spans="1:12">
      <c r="A114" s="57"/>
      <c r="B114" s="421" t="s">
        <v>223</v>
      </c>
      <c r="C114" s="46"/>
      <c r="D114" s="108"/>
      <c r="E114" s="26"/>
      <c r="F114" s="131"/>
      <c r="G114" s="478"/>
      <c r="H114" s="579"/>
      <c r="I114" s="460"/>
      <c r="J114" s="131"/>
      <c r="K114" s="26"/>
      <c r="L114" s="323"/>
    </row>
    <row r="115" spans="1:12">
      <c r="A115" s="58" t="s">
        <v>106</v>
      </c>
      <c r="B115" s="521" t="s">
        <v>257</v>
      </c>
      <c r="C115" s="398" t="s">
        <v>258</v>
      </c>
      <c r="D115" s="399"/>
      <c r="E115" s="400"/>
      <c r="F115" s="402"/>
      <c r="G115" s="485"/>
      <c r="H115" s="580"/>
      <c r="I115" s="456"/>
      <c r="J115" s="402"/>
      <c r="K115" s="401"/>
      <c r="L115" s="323"/>
    </row>
    <row r="116" spans="1:12">
      <c r="A116" s="58" t="s">
        <v>115</v>
      </c>
      <c r="B116" s="559" t="s">
        <v>257</v>
      </c>
      <c r="C116" s="505"/>
      <c r="D116" s="341"/>
      <c r="E116" s="497" t="s">
        <v>259</v>
      </c>
      <c r="F116" s="356">
        <v>2000</v>
      </c>
      <c r="G116" s="506">
        <f>SUM(G117:G122)</f>
        <v>0</v>
      </c>
      <c r="H116" s="551">
        <f>Tracking_SI3[[#This Row],[Số  lượng trên ĐH]]-Tracking_SI3[[#This Row],[Số  lượng giao]]</f>
        <v>2000</v>
      </c>
      <c r="I116" s="504">
        <v>45500</v>
      </c>
      <c r="J116" s="127"/>
      <c r="K116" s="24"/>
      <c r="L116" s="323"/>
    </row>
    <row r="117" spans="1:12">
      <c r="A117" s="57"/>
      <c r="B117" s="421" t="s">
        <v>257</v>
      </c>
      <c r="C117" s="46"/>
      <c r="D117" s="108"/>
      <c r="E117" s="26" t="s">
        <v>259</v>
      </c>
      <c r="F117" s="131"/>
      <c r="G117" s="478"/>
      <c r="H117" s="579"/>
      <c r="I117" s="460"/>
      <c r="J117" s="131"/>
      <c r="K117" s="26"/>
      <c r="L117" s="441"/>
    </row>
    <row r="118" spans="1:12">
      <c r="A118" s="58"/>
      <c r="B118" s="421" t="s">
        <v>257</v>
      </c>
      <c r="C118" s="408"/>
      <c r="D118" s="108"/>
      <c r="E118" s="26" t="s">
        <v>259</v>
      </c>
      <c r="F118" s="411"/>
      <c r="G118" s="479"/>
      <c r="H118" s="568"/>
      <c r="I118" s="453"/>
      <c r="J118" s="411"/>
      <c r="K118" s="410"/>
      <c r="L118" s="327"/>
    </row>
    <row r="119" spans="1:12">
      <c r="A119" s="57"/>
      <c r="B119" s="421" t="s">
        <v>257</v>
      </c>
      <c r="C119" s="46"/>
      <c r="D119" s="108"/>
      <c r="E119" s="26" t="s">
        <v>259</v>
      </c>
      <c r="F119" s="131"/>
      <c r="G119" s="478"/>
      <c r="H119" s="579"/>
      <c r="I119" s="460"/>
      <c r="J119" s="131"/>
      <c r="K119" s="26"/>
      <c r="L119" s="323"/>
    </row>
    <row r="120" spans="1:12">
      <c r="A120" s="57"/>
      <c r="B120" s="421" t="s">
        <v>257</v>
      </c>
      <c r="C120" s="46"/>
      <c r="D120" s="108"/>
      <c r="E120" s="26" t="s">
        <v>259</v>
      </c>
      <c r="F120" s="131"/>
      <c r="G120" s="478"/>
      <c r="H120" s="579"/>
      <c r="I120" s="460"/>
      <c r="J120" s="131"/>
      <c r="K120" s="26"/>
      <c r="L120" s="323"/>
    </row>
    <row r="121" spans="1:12">
      <c r="A121" s="57"/>
      <c r="B121" s="421" t="s">
        <v>257</v>
      </c>
      <c r="C121" s="46"/>
      <c r="D121" s="108"/>
      <c r="E121" s="26" t="s">
        <v>259</v>
      </c>
      <c r="F121" s="131"/>
      <c r="G121" s="478"/>
      <c r="H121" s="579"/>
      <c r="I121" s="460"/>
      <c r="J121" s="131"/>
      <c r="K121" s="26"/>
      <c r="L121" s="323"/>
    </row>
    <row r="122" spans="1:12">
      <c r="A122" s="57"/>
      <c r="B122" s="421" t="s">
        <v>257</v>
      </c>
      <c r="C122" s="46"/>
      <c r="D122" s="108"/>
      <c r="E122" s="26" t="s">
        <v>259</v>
      </c>
      <c r="F122" s="131"/>
      <c r="G122" s="478"/>
      <c r="H122" s="579"/>
      <c r="I122" s="460"/>
      <c r="J122" s="131"/>
      <c r="K122" s="26"/>
      <c r="L122" s="323"/>
    </row>
    <row r="123" spans="1:12">
      <c r="A123" s="58" t="s">
        <v>106</v>
      </c>
      <c r="B123" s="522" t="s">
        <v>245</v>
      </c>
      <c r="C123" s="403" t="s">
        <v>217</v>
      </c>
      <c r="D123" s="404"/>
      <c r="E123" s="405"/>
      <c r="F123" s="407"/>
      <c r="G123" s="486"/>
      <c r="H123" s="581"/>
      <c r="I123" s="457"/>
      <c r="J123" s="407"/>
      <c r="K123" s="406"/>
      <c r="L123" s="323"/>
    </row>
    <row r="124" spans="1:12">
      <c r="A124" s="52" t="s">
        <v>115</v>
      </c>
      <c r="B124" s="518" t="s">
        <v>245</v>
      </c>
      <c r="C124" s="496"/>
      <c r="D124" s="341">
        <v>46097</v>
      </c>
      <c r="E124" s="347" t="s">
        <v>248</v>
      </c>
      <c r="F124" s="356">
        <v>1000</v>
      </c>
      <c r="G124" s="499">
        <f>SUM(G125)</f>
        <v>66</v>
      </c>
      <c r="H124" s="524">
        <f>Tracking_SI3[[#This Row],[Số  lượng trên ĐH]]-Tracking_SI3[[#This Row],[Số  lượng giao]]</f>
        <v>934</v>
      </c>
      <c r="I124" s="504">
        <v>46000</v>
      </c>
      <c r="J124" s="346"/>
      <c r="K124" s="45"/>
      <c r="L124" s="442"/>
    </row>
    <row r="125" spans="1:12">
      <c r="A125" s="58"/>
      <c r="B125" s="421" t="s">
        <v>245</v>
      </c>
      <c r="C125" s="408"/>
      <c r="D125" s="215"/>
      <c r="E125" s="409"/>
      <c r="F125" s="411"/>
      <c r="G125" s="516">
        <v>66</v>
      </c>
      <c r="H125" s="568"/>
      <c r="I125" s="453"/>
      <c r="J125" s="411"/>
      <c r="K125" s="410"/>
      <c r="L125" s="525"/>
    </row>
    <row r="126" spans="1:12">
      <c r="A126" s="58" t="s">
        <v>106</v>
      </c>
      <c r="B126" s="526" t="s">
        <v>246</v>
      </c>
      <c r="C126" s="527" t="s">
        <v>244</v>
      </c>
      <c r="D126" s="528"/>
      <c r="E126" s="529"/>
      <c r="F126" s="530"/>
      <c r="G126" s="531"/>
      <c r="H126" s="582"/>
      <c r="I126" s="532"/>
      <c r="J126" s="530"/>
      <c r="K126" s="533"/>
      <c r="L126" s="323"/>
    </row>
    <row r="127" spans="1:12">
      <c r="A127" s="58" t="s">
        <v>115</v>
      </c>
      <c r="B127" s="511" t="s">
        <v>246</v>
      </c>
      <c r="C127" s="413"/>
      <c r="D127" s="122"/>
      <c r="E127" s="414"/>
      <c r="F127" s="416"/>
      <c r="G127" s="484"/>
      <c r="H127" s="583"/>
      <c r="I127" s="455"/>
      <c r="J127" s="416"/>
      <c r="K127" s="415"/>
      <c r="L127" s="326"/>
    </row>
    <row r="128" spans="1:12">
      <c r="A128" s="57"/>
      <c r="B128" s="421" t="s">
        <v>246</v>
      </c>
      <c r="C128" s="46"/>
      <c r="D128" s="108"/>
      <c r="E128" s="26"/>
      <c r="F128" s="131"/>
      <c r="G128" s="478"/>
      <c r="H128" s="584"/>
      <c r="I128" s="460"/>
      <c r="J128" s="131"/>
      <c r="K128" s="26"/>
      <c r="L128" s="323"/>
    </row>
    <row r="129" spans="4:7">
      <c r="G129" s="487"/>
    </row>
    <row r="130" spans="4:7">
      <c r="G130" s="487"/>
    </row>
    <row r="131" spans="4:7" ht="15.6">
      <c r="D131" s="844"/>
      <c r="E131" s="844"/>
      <c r="G131" s="487"/>
    </row>
    <row r="132" spans="4:7">
      <c r="D132" s="51"/>
      <c r="E132" s="52"/>
      <c r="G132" s="487"/>
    </row>
    <row r="133" spans="4:7">
      <c r="D133" s="216"/>
      <c r="E133" s="53"/>
      <c r="G133" s="488"/>
    </row>
    <row r="134" spans="4:7">
      <c r="D134" s="216"/>
      <c r="E134" s="53"/>
      <c r="G134" s="487"/>
    </row>
    <row r="135" spans="4:7">
      <c r="D135" s="216"/>
      <c r="E135" s="53"/>
    </row>
    <row r="136" spans="4:7">
      <c r="D136" s="216"/>
      <c r="E136" s="53"/>
      <c r="G136" s="487"/>
    </row>
    <row r="137" spans="4:7">
      <c r="D137" s="216"/>
      <c r="E137" s="53"/>
      <c r="G137" s="487"/>
    </row>
    <row r="138" spans="4:7">
      <c r="D138" s="216"/>
      <c r="E138" s="53"/>
      <c r="G138" s="487"/>
    </row>
    <row r="139" spans="4:7">
      <c r="D139" s="216"/>
      <c r="E139" s="53"/>
    </row>
    <row r="140" spans="4:7">
      <c r="D140" s="216"/>
      <c r="E140" s="53"/>
    </row>
    <row r="141" spans="4:7">
      <c r="D141" s="216"/>
      <c r="E141" s="53"/>
    </row>
    <row r="142" spans="4:7">
      <c r="D142" s="216"/>
      <c r="E142" s="53"/>
    </row>
    <row r="143" spans="4:7">
      <c r="D143" s="216"/>
      <c r="E143" s="43"/>
    </row>
    <row r="145" spans="4:5">
      <c r="D145" s="216"/>
    </row>
    <row r="146" spans="4:5">
      <c r="D146" s="217"/>
      <c r="E146" s="54"/>
    </row>
    <row r="147" spans="4:5">
      <c r="D147" s="217"/>
      <c r="E147" s="54"/>
    </row>
    <row r="148" spans="4:5">
      <c r="D148" s="217"/>
      <c r="E148" s="54"/>
    </row>
    <row r="149" spans="4:5">
      <c r="D149" s="218"/>
      <c r="E149" s="55"/>
    </row>
    <row r="150" spans="4:5">
      <c r="D150" s="218"/>
      <c r="E150" s="55"/>
    </row>
    <row r="151" spans="4:5">
      <c r="E151" s="54"/>
    </row>
    <row r="152" spans="4:5">
      <c r="E152" s="54"/>
    </row>
    <row r="153" spans="4:5">
      <c r="E153" s="54"/>
    </row>
    <row r="154" spans="4:5">
      <c r="E154" s="54"/>
    </row>
  </sheetData>
  <mergeCells count="2">
    <mergeCell ref="A1:J1"/>
    <mergeCell ref="D131:E131"/>
  </mergeCells>
  <phoneticPr fontId="19" type="noConversion"/>
  <conditionalFormatting sqref="B3">
    <cfRule type="timePeriod" dxfId="229" priority="132" stopIfTrue="1" timePeriod="today">
      <formula>FLOOR(B3,1)=TODAY()</formula>
    </cfRule>
  </conditionalFormatting>
  <conditionalFormatting sqref="D3:D128">
    <cfRule type="timePeriod" dxfId="228" priority="1" stopIfTrue="1" timePeriod="today">
      <formula>FLOOR(D3,1)=TODAY()</formula>
    </cfRule>
  </conditionalFormatting>
  <conditionalFormatting sqref="H1:H8 H122:H1048576">
    <cfRule type="cellIs" dxfId="227" priority="89" operator="lessThan">
      <formula>-0.1</formula>
    </cfRule>
  </conditionalFormatting>
  <conditionalFormatting sqref="H8 H10:H14 H79:H82">
    <cfRule type="cellIs" dxfId="226" priority="198" operator="lessThan">
      <formula>-1</formula>
    </cfRule>
  </conditionalFormatting>
  <conditionalFormatting sqref="H9:H121">
    <cfRule type="cellIs" dxfId="225" priority="2" operator="lessThan">
      <formula>-0.1</formula>
    </cfRule>
  </conditionalFormatting>
  <conditionalFormatting sqref="H20:H24">
    <cfRule type="cellIs" dxfId="224" priority="155" operator="lessThan">
      <formula>-1</formula>
    </cfRule>
  </conditionalFormatting>
  <conditionalFormatting sqref="H26">
    <cfRule type="cellIs" dxfId="223" priority="136" operator="lessThan">
      <formula>-1</formula>
    </cfRule>
  </conditionalFormatting>
  <conditionalFormatting sqref="H28">
    <cfRule type="cellIs" dxfId="222" priority="99" operator="lessThan">
      <formula>-1</formula>
    </cfRule>
  </conditionalFormatting>
  <conditionalFormatting sqref="H30:H37">
    <cfRule type="cellIs" dxfId="221" priority="93" operator="lessThan">
      <formula>-1</formula>
    </cfRule>
  </conditionalFormatting>
  <conditionalFormatting sqref="H40:H45">
    <cfRule type="cellIs" dxfId="220" priority="118" operator="lessThan">
      <formula>-1</formula>
    </cfRule>
  </conditionalFormatting>
  <conditionalFormatting sqref="H47:H50">
    <cfRule type="cellIs" dxfId="219" priority="139" operator="lessThan">
      <formula>-1</formula>
    </cfRule>
  </conditionalFormatting>
  <conditionalFormatting sqref="H52:H54">
    <cfRule type="cellIs" dxfId="218" priority="134" operator="lessThan">
      <formula>-1</formula>
    </cfRule>
  </conditionalFormatting>
  <conditionalFormatting sqref="H56:H57">
    <cfRule type="cellIs" dxfId="217" priority="164" operator="lessThan">
      <formula>-1</formula>
    </cfRule>
  </conditionalFormatting>
  <conditionalFormatting sqref="H59">
    <cfRule type="cellIs" dxfId="216" priority="62" operator="lessThan">
      <formula>-1</formula>
    </cfRule>
  </conditionalFormatting>
  <conditionalFormatting sqref="H66">
    <cfRule type="cellIs" dxfId="215" priority="112" operator="lessThan">
      <formula>-1</formula>
    </cfRule>
  </conditionalFormatting>
  <conditionalFormatting sqref="H72:H76">
    <cfRule type="cellIs" dxfId="214" priority="87" operator="lessThan">
      <formula>-1</formula>
    </cfRule>
  </conditionalFormatting>
  <conditionalFormatting sqref="H84:H95">
    <cfRule type="cellIs" dxfId="213" priority="3" operator="lessThan">
      <formula>-1</formula>
    </cfRule>
  </conditionalFormatting>
  <conditionalFormatting sqref="H97:H104">
    <cfRule type="cellIs" dxfId="212" priority="70" operator="lessThan">
      <formula>-1</formula>
    </cfRule>
  </conditionalFormatting>
  <conditionalFormatting sqref="H106:H114">
    <cfRule type="cellIs" dxfId="211" priority="43" operator="lessThan">
      <formula>-1</formula>
    </cfRule>
  </conditionalFormatting>
  <conditionalFormatting sqref="H116:H122">
    <cfRule type="cellIs" dxfId="210" priority="37" operator="lessThan">
      <formula>-1</formula>
    </cfRule>
  </conditionalFormatting>
  <conditionalFormatting sqref="H128">
    <cfRule type="cellIs" dxfId="209" priority="189" operator="lessThan">
      <formula>-1</formula>
    </cfRule>
  </conditionalFormatting>
  <conditionalFormatting sqref="K1:K2 K129:K1048576">
    <cfRule type="cellIs" dxfId="208" priority="299" operator="lessThan">
      <formula>-0.01</formula>
    </cfRule>
  </conditionalFormatting>
  <conditionalFormatting sqref="L4:L128">
    <cfRule type="cellIs" dxfId="207" priority="4" operator="lessThan">
      <formula>-0.01</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6D0B4-3424-4BA0-8221-6EF0ACB370F0}">
  <sheetPr codeName="Sheet3"/>
  <dimension ref="A1:M112"/>
  <sheetViews>
    <sheetView showGridLines="0" topLeftCell="C1" zoomScale="85" zoomScaleNormal="85" workbookViewId="0">
      <pane ySplit="4" topLeftCell="A30" activePane="bottomLeft" state="frozen"/>
      <selection pane="bottomLeft" activeCell="O40" sqref="O40"/>
    </sheetView>
  </sheetViews>
  <sheetFormatPr defaultRowHeight="14.4"/>
  <cols>
    <col min="1" max="1" width="9.109375" style="243"/>
    <col min="2" max="2" width="9.5546875" customWidth="1"/>
    <col min="3" max="3" width="16.44140625" style="114" customWidth="1"/>
    <col min="4" max="4" width="16.88671875" customWidth="1"/>
    <col min="5" max="5" width="12" customWidth="1"/>
    <col min="6" max="6" width="13.33203125" customWidth="1"/>
    <col min="7" max="8" width="12.44140625" customWidth="1"/>
    <col min="9" max="9" width="12" customWidth="1"/>
    <col min="10" max="10" width="13" customWidth="1"/>
    <col min="11" max="11" width="14.109375" customWidth="1"/>
    <col min="12" max="12" width="13.109375" customWidth="1"/>
    <col min="13" max="13" width="12.6640625" customWidth="1"/>
  </cols>
  <sheetData>
    <row r="1" spans="1:13" ht="31.2">
      <c r="A1" s="845" t="s">
        <v>145</v>
      </c>
      <c r="B1" s="845"/>
      <c r="C1" s="845"/>
      <c r="D1" s="845"/>
      <c r="E1" s="845"/>
      <c r="F1" s="845"/>
      <c r="G1" s="845"/>
      <c r="H1" s="845"/>
      <c r="I1" s="845"/>
      <c r="J1" s="845"/>
      <c r="K1" s="845"/>
      <c r="L1" s="845"/>
      <c r="M1" s="845"/>
    </row>
    <row r="2" spans="1:13">
      <c r="D2" s="846" t="s">
        <v>141</v>
      </c>
      <c r="E2" s="846"/>
      <c r="F2" s="846"/>
      <c r="G2" s="847" t="s">
        <v>142</v>
      </c>
      <c r="H2" s="847"/>
      <c r="I2" s="847"/>
      <c r="J2" s="846" t="s">
        <v>143</v>
      </c>
      <c r="K2" s="846"/>
      <c r="L2" s="846"/>
    </row>
    <row r="3" spans="1:13">
      <c r="C3" s="244" t="s">
        <v>155</v>
      </c>
      <c r="D3" s="259">
        <f t="shared" ref="D3:L3" si="0">SUM(D5:D111)</f>
        <v>4054000</v>
      </c>
      <c r="E3" s="259">
        <f t="shared" si="0"/>
        <v>2484719</v>
      </c>
      <c r="F3" s="260">
        <f t="shared" si="0"/>
        <v>1769281</v>
      </c>
      <c r="G3" s="259">
        <f t="shared" si="0"/>
        <v>530000</v>
      </c>
      <c r="H3" s="259">
        <f t="shared" si="0"/>
        <v>385685</v>
      </c>
      <c r="I3" s="260">
        <f t="shared" si="0"/>
        <v>144315</v>
      </c>
      <c r="J3" s="259">
        <f t="shared" si="0"/>
        <v>700000</v>
      </c>
      <c r="K3" s="259">
        <f t="shared" si="0"/>
        <v>314200</v>
      </c>
      <c r="L3" s="260">
        <f t="shared" si="0"/>
        <v>385800</v>
      </c>
      <c r="M3" s="241">
        <f>SUM(M5:M64)</f>
        <v>0</v>
      </c>
    </row>
    <row r="4" spans="1:13" s="30" customFormat="1" ht="26.25" customHeight="1">
      <c r="A4" s="249" t="s">
        <v>139</v>
      </c>
      <c r="B4" s="250" t="s">
        <v>171</v>
      </c>
      <c r="C4" s="251" t="s">
        <v>140</v>
      </c>
      <c r="D4" s="252" t="s">
        <v>146</v>
      </c>
      <c r="E4" s="250" t="s">
        <v>147</v>
      </c>
      <c r="F4" s="253" t="s">
        <v>148</v>
      </c>
      <c r="G4" s="254" t="s">
        <v>149</v>
      </c>
      <c r="H4" s="255" t="s">
        <v>150</v>
      </c>
      <c r="I4" s="256" t="s">
        <v>151</v>
      </c>
      <c r="J4" s="250" t="s">
        <v>152</v>
      </c>
      <c r="K4" s="250" t="s">
        <v>153</v>
      </c>
      <c r="L4" s="250" t="s">
        <v>154</v>
      </c>
      <c r="M4" s="252" t="s">
        <v>144</v>
      </c>
    </row>
    <row r="5" spans="1:13" hidden="1">
      <c r="A5" s="242">
        <v>1</v>
      </c>
      <c r="B5" s="314">
        <f>Table3[[#This Row],[GIAO PP]]+Table3[[#This Row],[GIAO KP]]+Table3[[#This Row],[GIAO KPK]]</f>
        <v>175700</v>
      </c>
      <c r="C5" s="245">
        <v>45518</v>
      </c>
      <c r="D5" s="247">
        <v>437000</v>
      </c>
      <c r="E5" s="240">
        <v>150000</v>
      </c>
      <c r="F5" s="246">
        <f>D5-E5</f>
        <v>287000</v>
      </c>
      <c r="G5" s="247">
        <v>60000</v>
      </c>
      <c r="H5" s="240">
        <f>20000+5700</f>
        <v>25700</v>
      </c>
      <c r="I5" s="246">
        <f>G5-H5</f>
        <v>34300</v>
      </c>
      <c r="J5" s="240"/>
      <c r="K5" s="240"/>
      <c r="L5" s="240">
        <f>J5-K5</f>
        <v>0</v>
      </c>
      <c r="M5" s="248"/>
    </row>
    <row r="6" spans="1:13" hidden="1">
      <c r="A6" s="242">
        <v>2</v>
      </c>
      <c r="B6" s="314">
        <f>Table3[[#This Row],[GIAO PP]]+Table3[[#This Row],[GIAO KP]]+Table3[[#This Row],[GIAO KPK]]</f>
        <v>0</v>
      </c>
      <c r="C6" s="245">
        <v>45541</v>
      </c>
      <c r="D6" s="247">
        <v>200000</v>
      </c>
      <c r="E6" s="240"/>
      <c r="F6" s="246">
        <f t="shared" ref="F6:F80" si="1">D6-E6</f>
        <v>200000</v>
      </c>
      <c r="G6" s="247"/>
      <c r="H6" s="240"/>
      <c r="I6" s="246">
        <f t="shared" ref="I6:I80" si="2">G6-H6</f>
        <v>0</v>
      </c>
      <c r="J6" s="240"/>
      <c r="K6" s="240"/>
      <c r="L6" s="240">
        <f t="shared" ref="L6:L80" si="3">J6-K6</f>
        <v>0</v>
      </c>
      <c r="M6" s="248"/>
    </row>
    <row r="7" spans="1:13" hidden="1">
      <c r="A7" s="242">
        <v>3</v>
      </c>
      <c r="B7" s="314">
        <f>Table3[[#This Row],[GIAO PP]]+Table3[[#This Row],[GIAO KP]]+Table3[[#This Row],[GIAO KPK]]</f>
        <v>0</v>
      </c>
      <c r="C7" s="245">
        <v>45558</v>
      </c>
      <c r="D7" s="247">
        <v>200000</v>
      </c>
      <c r="E7" s="240"/>
      <c r="F7" s="246">
        <f>D7-E7</f>
        <v>200000</v>
      </c>
      <c r="G7" s="247">
        <v>50000</v>
      </c>
      <c r="H7" s="240"/>
      <c r="I7" s="246">
        <f t="shared" si="2"/>
        <v>50000</v>
      </c>
      <c r="J7" s="240"/>
      <c r="K7" s="240"/>
      <c r="L7" s="240">
        <f t="shared" si="3"/>
        <v>0</v>
      </c>
      <c r="M7" s="248"/>
    </row>
    <row r="8" spans="1:13" hidden="1">
      <c r="A8" s="242">
        <v>4</v>
      </c>
      <c r="B8" s="314">
        <f>Table3[[#This Row],[GIAO PP]]+Table3[[#This Row],[GIAO KP]]+Table3[[#This Row],[GIAO KPK]]</f>
        <v>20185</v>
      </c>
      <c r="C8" s="245">
        <v>45559</v>
      </c>
      <c r="D8" s="247"/>
      <c r="E8" s="240"/>
      <c r="F8" s="246"/>
      <c r="G8" s="247"/>
      <c r="H8" s="240">
        <v>20185</v>
      </c>
      <c r="I8" s="246">
        <f t="shared" si="2"/>
        <v>-20185</v>
      </c>
      <c r="J8" s="240"/>
      <c r="K8" s="240"/>
      <c r="L8" s="240">
        <f t="shared" si="3"/>
        <v>0</v>
      </c>
      <c r="M8" s="248"/>
    </row>
    <row r="9" spans="1:13" hidden="1">
      <c r="A9" s="242">
        <v>5</v>
      </c>
      <c r="B9" s="314">
        <f>Table3[[#This Row],[GIAO PP]]+Table3[[#This Row],[GIAO KP]]+Table3[[#This Row],[GIAO KPK]]</f>
        <v>153000</v>
      </c>
      <c r="C9" s="245">
        <v>45565</v>
      </c>
      <c r="D9" s="247"/>
      <c r="E9" s="240">
        <v>153000</v>
      </c>
      <c r="F9" s="246">
        <f t="shared" si="1"/>
        <v>-153000</v>
      </c>
      <c r="G9" s="247"/>
      <c r="H9" s="240"/>
      <c r="I9" s="246">
        <f t="shared" si="2"/>
        <v>0</v>
      </c>
      <c r="J9" s="240"/>
      <c r="K9" s="240"/>
      <c r="L9" s="240">
        <f t="shared" si="3"/>
        <v>0</v>
      </c>
      <c r="M9" s="248"/>
    </row>
    <row r="10" spans="1:13" hidden="1">
      <c r="A10" s="242">
        <v>6</v>
      </c>
      <c r="B10" s="314">
        <f>Table3[[#This Row],[GIAO PP]]+Table3[[#This Row],[GIAO KP]]+Table3[[#This Row],[GIAO KPK]]</f>
        <v>20000</v>
      </c>
      <c r="C10" s="245">
        <v>45568</v>
      </c>
      <c r="D10" s="247"/>
      <c r="E10" s="240"/>
      <c r="F10" s="246">
        <f t="shared" si="1"/>
        <v>0</v>
      </c>
      <c r="G10" s="247"/>
      <c r="H10" s="240">
        <v>20000</v>
      </c>
      <c r="I10" s="246">
        <f t="shared" si="2"/>
        <v>-20000</v>
      </c>
      <c r="J10" s="240"/>
      <c r="K10" s="240"/>
      <c r="L10" s="240">
        <f t="shared" si="3"/>
        <v>0</v>
      </c>
      <c r="M10" s="248"/>
    </row>
    <row r="11" spans="1:13" hidden="1">
      <c r="A11" s="242">
        <v>7</v>
      </c>
      <c r="B11" s="314">
        <f>Table3[[#This Row],[GIAO PP]]+Table3[[#This Row],[GIAO KP]]+Table3[[#This Row],[GIAO KPK]]</f>
        <v>90600</v>
      </c>
      <c r="C11" s="245">
        <v>45572</v>
      </c>
      <c r="D11" s="247"/>
      <c r="E11" s="240">
        <v>90600</v>
      </c>
      <c r="F11" s="246">
        <f t="shared" si="1"/>
        <v>-90600</v>
      </c>
      <c r="G11" s="247"/>
      <c r="H11" s="240"/>
      <c r="I11" s="246">
        <f t="shared" si="2"/>
        <v>0</v>
      </c>
      <c r="J11" s="240"/>
      <c r="K11" s="240"/>
      <c r="L11" s="240">
        <f t="shared" si="3"/>
        <v>0</v>
      </c>
      <c r="M11" s="248"/>
    </row>
    <row r="12" spans="1:13" hidden="1">
      <c r="A12" s="242">
        <v>8</v>
      </c>
      <c r="B12" s="314">
        <f>Table3[[#This Row],[GIAO PP]]+Table3[[#This Row],[GIAO KP]]+Table3[[#This Row],[GIAO KPK]]</f>
        <v>10000</v>
      </c>
      <c r="C12" s="245">
        <v>45576</v>
      </c>
      <c r="D12" s="247"/>
      <c r="E12" s="240"/>
      <c r="F12" s="246"/>
      <c r="G12" s="247"/>
      <c r="H12" s="240">
        <v>10000</v>
      </c>
      <c r="I12" s="246">
        <f t="shared" si="2"/>
        <v>-10000</v>
      </c>
      <c r="J12" s="240"/>
      <c r="K12" s="240"/>
      <c r="L12" s="240">
        <f t="shared" si="3"/>
        <v>0</v>
      </c>
      <c r="M12" s="248"/>
    </row>
    <row r="13" spans="1:13" hidden="1">
      <c r="A13" s="242">
        <v>9</v>
      </c>
      <c r="B13" s="314">
        <f>Table3[[#This Row],[GIAO PP]]+Table3[[#This Row],[GIAO KP]]+Table3[[#This Row],[GIAO KPK]]</f>
        <v>152600</v>
      </c>
      <c r="C13" s="245">
        <v>45579</v>
      </c>
      <c r="D13" s="247"/>
      <c r="E13" s="240">
        <v>152600</v>
      </c>
      <c r="F13" s="246">
        <f t="shared" si="1"/>
        <v>-152600</v>
      </c>
      <c r="G13" s="247">
        <v>50000</v>
      </c>
      <c r="H13" s="240"/>
      <c r="I13" s="246">
        <f t="shared" si="2"/>
        <v>50000</v>
      </c>
      <c r="J13" s="240"/>
      <c r="K13" s="240"/>
      <c r="L13" s="240">
        <f t="shared" si="3"/>
        <v>0</v>
      </c>
      <c r="M13" s="248"/>
    </row>
    <row r="14" spans="1:13" hidden="1">
      <c r="A14" s="242">
        <v>10</v>
      </c>
      <c r="B14" s="314">
        <f>Table3[[#This Row],[GIAO PP]]+Table3[[#This Row],[GIAO KP]]+Table3[[#This Row],[GIAO KPK]]</f>
        <v>0</v>
      </c>
      <c r="C14" s="245">
        <v>45583</v>
      </c>
      <c r="D14" s="247">
        <v>300000</v>
      </c>
      <c r="E14" s="240"/>
      <c r="F14" s="246">
        <f t="shared" si="1"/>
        <v>300000</v>
      </c>
      <c r="G14" s="247"/>
      <c r="H14" s="240"/>
      <c r="I14" s="246">
        <f t="shared" si="2"/>
        <v>0</v>
      </c>
      <c r="J14" s="240"/>
      <c r="K14" s="240"/>
      <c r="L14" s="240">
        <f t="shared" si="3"/>
        <v>0</v>
      </c>
      <c r="M14" s="248"/>
    </row>
    <row r="15" spans="1:13" hidden="1">
      <c r="A15" s="242">
        <v>11</v>
      </c>
      <c r="B15" s="314">
        <f>Table3[[#This Row],[GIAO PP]]+Table3[[#This Row],[GIAO KP]]+Table3[[#This Row],[GIAO KPK]]</f>
        <v>170500</v>
      </c>
      <c r="C15" s="245">
        <v>45590</v>
      </c>
      <c r="D15" s="247"/>
      <c r="E15" s="240">
        <v>130000</v>
      </c>
      <c r="F15" s="246">
        <f t="shared" si="1"/>
        <v>-130000</v>
      </c>
      <c r="G15" s="247"/>
      <c r="H15" s="240">
        <v>40500</v>
      </c>
      <c r="I15" s="246">
        <f t="shared" si="2"/>
        <v>-40500</v>
      </c>
      <c r="J15" s="240"/>
      <c r="K15" s="240"/>
      <c r="L15" s="240">
        <f t="shared" si="3"/>
        <v>0</v>
      </c>
      <c r="M15" s="248"/>
    </row>
    <row r="16" spans="1:13" hidden="1">
      <c r="A16" s="242">
        <v>12</v>
      </c>
      <c r="B16" s="314">
        <f>Table3[[#This Row],[GIAO PP]]+Table3[[#This Row],[GIAO KP]]+Table3[[#This Row],[GIAO KPK]]</f>
        <v>14000</v>
      </c>
      <c r="C16" s="245">
        <v>45595</v>
      </c>
      <c r="D16" s="247"/>
      <c r="E16" s="240"/>
      <c r="F16" s="246">
        <f t="shared" si="1"/>
        <v>0</v>
      </c>
      <c r="G16" s="247"/>
      <c r="H16" s="240">
        <v>14000</v>
      </c>
      <c r="I16" s="246">
        <f t="shared" si="2"/>
        <v>-14000</v>
      </c>
      <c r="J16" s="240"/>
      <c r="K16" s="240"/>
      <c r="L16" s="240">
        <f t="shared" si="3"/>
        <v>0</v>
      </c>
      <c r="M16" s="248"/>
    </row>
    <row r="17" spans="1:13" hidden="1">
      <c r="A17" s="242">
        <v>13</v>
      </c>
      <c r="B17" s="314">
        <f>Table3[[#This Row],[GIAO PP]]+Table3[[#This Row],[GIAO KP]]+Table3[[#This Row],[GIAO KPK]]</f>
        <v>150000</v>
      </c>
      <c r="C17" s="245">
        <v>45607</v>
      </c>
      <c r="D17" s="247"/>
      <c r="E17" s="240">
        <v>150000</v>
      </c>
      <c r="F17" s="246">
        <f t="shared" si="1"/>
        <v>-150000</v>
      </c>
      <c r="G17" s="247"/>
      <c r="H17" s="240"/>
      <c r="I17" s="246">
        <f t="shared" si="2"/>
        <v>0</v>
      </c>
      <c r="J17" s="240"/>
      <c r="K17" s="240"/>
      <c r="L17" s="240">
        <f t="shared" si="3"/>
        <v>0</v>
      </c>
      <c r="M17" s="248"/>
    </row>
    <row r="18" spans="1:13" hidden="1">
      <c r="A18" s="242">
        <v>14</v>
      </c>
      <c r="B18" s="314">
        <f>Table3[[#This Row],[GIAO PP]]+Table3[[#This Row],[GIAO KP]]+Table3[[#This Row],[GIAO KPK]]</f>
        <v>0</v>
      </c>
      <c r="C18" s="245">
        <v>45610</v>
      </c>
      <c r="D18" s="247"/>
      <c r="E18" s="240"/>
      <c r="F18" s="246">
        <f t="shared" si="1"/>
        <v>0</v>
      </c>
      <c r="G18" s="247">
        <v>100000</v>
      </c>
      <c r="H18" s="240"/>
      <c r="I18" s="246">
        <f t="shared" si="2"/>
        <v>100000</v>
      </c>
      <c r="J18" s="240"/>
      <c r="K18" s="240"/>
      <c r="L18" s="240">
        <f t="shared" si="3"/>
        <v>0</v>
      </c>
      <c r="M18" s="248"/>
    </row>
    <row r="19" spans="1:13" hidden="1">
      <c r="A19" s="242">
        <v>15</v>
      </c>
      <c r="B19" s="314">
        <f>Table3[[#This Row],[GIAO PP]]+Table3[[#This Row],[GIAO KP]]+Table3[[#This Row],[GIAO KPK]]</f>
        <v>0</v>
      </c>
      <c r="C19" s="245">
        <v>45615</v>
      </c>
      <c r="D19" s="247">
        <v>200000</v>
      </c>
      <c r="E19" s="240"/>
      <c r="F19" s="246">
        <f t="shared" si="1"/>
        <v>200000</v>
      </c>
      <c r="G19" s="247"/>
      <c r="H19" s="240"/>
      <c r="I19" s="246">
        <f t="shared" si="2"/>
        <v>0</v>
      </c>
      <c r="J19" s="240">
        <v>50000</v>
      </c>
      <c r="K19" s="240"/>
      <c r="L19" s="240">
        <f t="shared" si="3"/>
        <v>50000</v>
      </c>
      <c r="M19" s="248"/>
    </row>
    <row r="20" spans="1:13" hidden="1">
      <c r="A20" s="242">
        <v>16</v>
      </c>
      <c r="B20" s="314">
        <f>Table3[[#This Row],[GIAO PP]]+Table3[[#This Row],[GIAO KP]]+Table3[[#This Row],[GIAO KPK]]</f>
        <v>130500</v>
      </c>
      <c r="C20" s="245">
        <v>45616</v>
      </c>
      <c r="D20" s="247"/>
      <c r="E20" s="240">
        <v>110000</v>
      </c>
      <c r="F20" s="246">
        <f t="shared" si="1"/>
        <v>-110000</v>
      </c>
      <c r="G20" s="247"/>
      <c r="H20" s="240">
        <v>20500</v>
      </c>
      <c r="I20" s="246">
        <f t="shared" si="2"/>
        <v>-20500</v>
      </c>
      <c r="J20" s="240"/>
      <c r="K20" s="240"/>
      <c r="L20" s="240">
        <f t="shared" si="3"/>
        <v>0</v>
      </c>
      <c r="M20" s="248"/>
    </row>
    <row r="21" spans="1:13" hidden="1">
      <c r="A21" s="242">
        <v>17</v>
      </c>
      <c r="B21" s="314">
        <f>Table3[[#This Row],[GIAO PP]]+Table3[[#This Row],[GIAO KP]]+Table3[[#This Row],[GIAO KPK]]</f>
        <v>71200</v>
      </c>
      <c r="C21" s="245">
        <v>45625</v>
      </c>
      <c r="D21" s="247"/>
      <c r="E21" s="240">
        <v>11200</v>
      </c>
      <c r="F21" s="246">
        <f t="shared" si="1"/>
        <v>-11200</v>
      </c>
      <c r="G21" s="247"/>
      <c r="H21" s="240">
        <v>10000</v>
      </c>
      <c r="I21" s="246">
        <f t="shared" si="2"/>
        <v>-10000</v>
      </c>
      <c r="J21" s="240"/>
      <c r="K21" s="240">
        <v>50000</v>
      </c>
      <c r="L21" s="240">
        <f t="shared" si="3"/>
        <v>-50000</v>
      </c>
      <c r="M21" s="248"/>
    </row>
    <row r="22" spans="1:13" hidden="1">
      <c r="A22" s="242">
        <v>18</v>
      </c>
      <c r="B22" s="314">
        <f>Table3[[#This Row],[GIAO PP]]+Table3[[#This Row],[GIAO KP]]+Table3[[#This Row],[GIAO KPK]]</f>
        <v>40000</v>
      </c>
      <c r="C22" s="245">
        <v>45629</v>
      </c>
      <c r="D22" s="247"/>
      <c r="E22" s="240">
        <v>40000</v>
      </c>
      <c r="F22" s="246">
        <f t="shared" si="1"/>
        <v>-40000</v>
      </c>
      <c r="G22" s="247"/>
      <c r="H22" s="240"/>
      <c r="I22" s="246">
        <f t="shared" si="2"/>
        <v>0</v>
      </c>
      <c r="J22" s="240"/>
      <c r="K22" s="240"/>
      <c r="L22" s="240">
        <f t="shared" si="3"/>
        <v>0</v>
      </c>
      <c r="M22" s="248"/>
    </row>
    <row r="23" spans="1:13" hidden="1">
      <c r="A23" s="242">
        <v>19</v>
      </c>
      <c r="B23" s="314">
        <f>Table3[[#This Row],[GIAO PP]]+Table3[[#This Row],[GIAO KP]]+Table3[[#This Row],[GIAO KPK]]</f>
        <v>120850</v>
      </c>
      <c r="C23" s="245">
        <v>45631</v>
      </c>
      <c r="D23" s="247"/>
      <c r="E23" s="240">
        <v>120850</v>
      </c>
      <c r="F23" s="246">
        <f t="shared" si="1"/>
        <v>-120850</v>
      </c>
      <c r="G23" s="247"/>
      <c r="H23" s="240"/>
      <c r="I23" s="246">
        <f t="shared" si="2"/>
        <v>0</v>
      </c>
      <c r="J23" s="240"/>
      <c r="K23" s="240"/>
      <c r="L23" s="240">
        <f t="shared" si="3"/>
        <v>0</v>
      </c>
      <c r="M23" s="248"/>
    </row>
    <row r="24" spans="1:13" hidden="1">
      <c r="A24" s="242">
        <v>20</v>
      </c>
      <c r="B24" s="314">
        <f>Table3[[#This Row],[GIAO PP]]+Table3[[#This Row],[GIAO KP]]+Table3[[#This Row],[GIAO KPK]]</f>
        <v>0</v>
      </c>
      <c r="C24" s="245">
        <v>45635</v>
      </c>
      <c r="D24" s="247">
        <v>200000</v>
      </c>
      <c r="E24" s="240"/>
      <c r="F24" s="246">
        <f t="shared" si="1"/>
        <v>200000</v>
      </c>
      <c r="G24" s="247"/>
      <c r="H24" s="240"/>
      <c r="I24" s="246">
        <f t="shared" si="2"/>
        <v>0</v>
      </c>
      <c r="J24" s="240">
        <v>50000</v>
      </c>
      <c r="K24" s="240"/>
      <c r="L24" s="240">
        <f t="shared" si="3"/>
        <v>50000</v>
      </c>
      <c r="M24" s="248"/>
    </row>
    <row r="25" spans="1:13" hidden="1">
      <c r="A25" s="242">
        <v>21</v>
      </c>
      <c r="B25" s="314">
        <f>Table3[[#This Row],[GIAO PP]]+Table3[[#This Row],[GIAO KP]]+Table3[[#This Row],[GIAO KPK]]</f>
        <v>21400</v>
      </c>
      <c r="C25" s="245">
        <v>45640</v>
      </c>
      <c r="D25" s="247"/>
      <c r="E25" s="240"/>
      <c r="F25" s="246">
        <f t="shared" si="1"/>
        <v>0</v>
      </c>
      <c r="G25" s="247"/>
      <c r="H25" s="240">
        <v>21400</v>
      </c>
      <c r="I25" s="246">
        <f t="shared" si="2"/>
        <v>-21400</v>
      </c>
      <c r="J25" s="240"/>
      <c r="K25" s="240"/>
      <c r="L25" s="240">
        <f t="shared" si="3"/>
        <v>0</v>
      </c>
      <c r="M25" s="248"/>
    </row>
    <row r="26" spans="1:13" hidden="1">
      <c r="A26" s="242">
        <v>22</v>
      </c>
      <c r="B26" s="314">
        <f>Table3[[#This Row],[GIAO PP]]+Table3[[#This Row],[GIAO KP]]+Table3[[#This Row],[GIAO KPK]]</f>
        <v>102800</v>
      </c>
      <c r="C26" s="245">
        <v>45652</v>
      </c>
      <c r="D26" s="247"/>
      <c r="E26" s="240">
        <v>50000</v>
      </c>
      <c r="F26" s="246">
        <f t="shared" si="1"/>
        <v>-50000</v>
      </c>
      <c r="G26" s="247"/>
      <c r="H26" s="240"/>
      <c r="I26" s="246">
        <f t="shared" si="2"/>
        <v>0</v>
      </c>
      <c r="J26" s="240"/>
      <c r="K26" s="240">
        <v>52800</v>
      </c>
      <c r="L26" s="240">
        <f t="shared" si="3"/>
        <v>-52800</v>
      </c>
      <c r="M26" s="248"/>
    </row>
    <row r="27" spans="1:13">
      <c r="A27" s="242">
        <v>23</v>
      </c>
      <c r="B27" s="314">
        <f>Table3[[#This Row],[GIAO PP]]+Table3[[#This Row],[GIAO KP]]+Table3[[#This Row],[GIAO KPK]]</f>
        <v>7200</v>
      </c>
      <c r="C27" s="245">
        <v>45660</v>
      </c>
      <c r="D27" s="247"/>
      <c r="E27" s="240">
        <v>7200</v>
      </c>
      <c r="F27" s="246">
        <f t="shared" si="1"/>
        <v>-7200</v>
      </c>
      <c r="G27" s="247"/>
      <c r="H27" s="240"/>
      <c r="I27" s="246">
        <f t="shared" si="2"/>
        <v>0</v>
      </c>
      <c r="J27" s="240"/>
      <c r="K27" s="240"/>
      <c r="L27" s="240">
        <f t="shared" si="3"/>
        <v>0</v>
      </c>
      <c r="M27" s="248"/>
    </row>
    <row r="28" spans="1:13">
      <c r="A28" s="242">
        <v>24</v>
      </c>
      <c r="B28" s="314">
        <f>Table3[[#This Row],[GIAO PP]]+Table3[[#This Row],[GIAO KP]]+Table3[[#This Row],[GIAO KPK]]</f>
        <v>0</v>
      </c>
      <c r="C28" s="245">
        <v>45664</v>
      </c>
      <c r="D28" s="247">
        <v>200000</v>
      </c>
      <c r="E28" s="240"/>
      <c r="F28" s="246">
        <f t="shared" si="1"/>
        <v>200000</v>
      </c>
      <c r="G28" s="247">
        <v>50000</v>
      </c>
      <c r="H28" s="240"/>
      <c r="I28" s="246">
        <f t="shared" si="2"/>
        <v>50000</v>
      </c>
      <c r="J28" s="240">
        <v>100000</v>
      </c>
      <c r="K28" s="240"/>
      <c r="L28" s="240">
        <f t="shared" si="3"/>
        <v>100000</v>
      </c>
      <c r="M28" s="248"/>
    </row>
    <row r="29" spans="1:13">
      <c r="A29" s="242">
        <v>25</v>
      </c>
      <c r="B29" s="314">
        <f>Table3[[#This Row],[GIAO PP]]+Table3[[#This Row],[GIAO KP]]+Table3[[#This Row],[GIAO KPK]]</f>
        <v>150000</v>
      </c>
      <c r="C29" s="245">
        <v>45671</v>
      </c>
      <c r="D29" s="247"/>
      <c r="E29" s="240">
        <v>150000</v>
      </c>
      <c r="F29" s="246"/>
      <c r="G29" s="247"/>
      <c r="H29" s="240"/>
      <c r="I29" s="246">
        <f t="shared" si="2"/>
        <v>0</v>
      </c>
      <c r="J29" s="240"/>
      <c r="K29" s="240"/>
      <c r="L29" s="240">
        <f t="shared" si="3"/>
        <v>0</v>
      </c>
      <c r="M29" s="248"/>
    </row>
    <row r="30" spans="1:13">
      <c r="A30" s="242">
        <v>26</v>
      </c>
      <c r="B30" s="314">
        <f>Table3[[#This Row],[GIAO PP]]+Table3[[#This Row],[GIAO KP]]+Table3[[#This Row],[GIAO KPK]]</f>
        <v>15000</v>
      </c>
      <c r="C30" s="245">
        <v>45680</v>
      </c>
      <c r="D30" s="247"/>
      <c r="E30" s="240">
        <v>5000</v>
      </c>
      <c r="F30" s="246">
        <f t="shared" si="1"/>
        <v>-5000</v>
      </c>
      <c r="G30" s="247"/>
      <c r="H30" s="240">
        <v>10000</v>
      </c>
      <c r="I30" s="246">
        <f t="shared" si="2"/>
        <v>-10000</v>
      </c>
      <c r="J30" s="240"/>
      <c r="K30" s="240"/>
      <c r="L30" s="240">
        <f t="shared" si="3"/>
        <v>0</v>
      </c>
      <c r="M30" s="248"/>
    </row>
    <row r="31" spans="1:13">
      <c r="A31" s="242">
        <v>27</v>
      </c>
      <c r="B31" s="314">
        <f>Table3[[#This Row],[GIAO PP]]+Table3[[#This Row],[GIAO KP]]+Table3[[#This Row],[GIAO KPK]]</f>
        <v>130000</v>
      </c>
      <c r="C31" s="245">
        <v>45681</v>
      </c>
      <c r="D31" s="247"/>
      <c r="E31" s="240">
        <v>100000</v>
      </c>
      <c r="F31" s="246">
        <f t="shared" si="1"/>
        <v>-100000</v>
      </c>
      <c r="G31" s="247"/>
      <c r="H31" s="240"/>
      <c r="I31" s="246">
        <f t="shared" si="2"/>
        <v>0</v>
      </c>
      <c r="J31" s="240"/>
      <c r="K31" s="240">
        <v>30000</v>
      </c>
      <c r="L31" s="240">
        <f t="shared" si="3"/>
        <v>-30000</v>
      </c>
      <c r="M31" s="248"/>
    </row>
    <row r="32" spans="1:13">
      <c r="A32" s="242">
        <v>28</v>
      </c>
      <c r="B32" s="314">
        <f>Table3[[#This Row],[GIAO PP]]+Table3[[#This Row],[GIAO KP]]+Table3[[#This Row],[GIAO KPK]]</f>
        <v>100600</v>
      </c>
      <c r="C32" s="245">
        <v>45700</v>
      </c>
      <c r="D32" s="247"/>
      <c r="E32" s="240">
        <v>80000</v>
      </c>
      <c r="F32" s="246">
        <f t="shared" si="1"/>
        <v>-80000</v>
      </c>
      <c r="G32" s="247"/>
      <c r="H32" s="240"/>
      <c r="I32" s="246">
        <f t="shared" si="2"/>
        <v>0</v>
      </c>
      <c r="J32" s="240"/>
      <c r="K32" s="240">
        <v>20600</v>
      </c>
      <c r="L32" s="240">
        <f t="shared" si="3"/>
        <v>-20600</v>
      </c>
      <c r="M32" s="248"/>
    </row>
    <row r="33" spans="1:13">
      <c r="A33" s="242">
        <v>29</v>
      </c>
      <c r="B33" s="314">
        <f>Table3[[#This Row],[GIAO PP]]+Table3[[#This Row],[GIAO KP]]+Table3[[#This Row],[GIAO KPK]]</f>
        <v>0</v>
      </c>
      <c r="C33" s="245">
        <v>45705</v>
      </c>
      <c r="D33" s="247">
        <v>200000</v>
      </c>
      <c r="E33" s="240"/>
      <c r="F33" s="246">
        <f t="shared" si="1"/>
        <v>200000</v>
      </c>
      <c r="G33" s="247"/>
      <c r="H33" s="240"/>
      <c r="I33" s="246">
        <f t="shared" si="2"/>
        <v>0</v>
      </c>
      <c r="J33" s="240"/>
      <c r="K33" s="240"/>
      <c r="L33" s="240">
        <f t="shared" si="3"/>
        <v>0</v>
      </c>
      <c r="M33" s="248"/>
    </row>
    <row r="34" spans="1:13">
      <c r="A34" s="242">
        <v>30</v>
      </c>
      <c r="B34" s="314">
        <f>Table3[[#This Row],[GIAO PP]]+Table3[[#This Row],[GIAO KP]]+Table3[[#This Row],[GIAO KPK]]</f>
        <v>11200</v>
      </c>
      <c r="C34" s="245">
        <v>45702</v>
      </c>
      <c r="D34" s="247"/>
      <c r="E34" s="240"/>
      <c r="F34" s="246">
        <f t="shared" si="1"/>
        <v>0</v>
      </c>
      <c r="G34" s="247"/>
      <c r="H34" s="240">
        <v>11200</v>
      </c>
      <c r="I34" s="246">
        <f t="shared" si="2"/>
        <v>-11200</v>
      </c>
      <c r="J34" s="240"/>
      <c r="K34" s="240"/>
      <c r="L34" s="240">
        <f t="shared" si="3"/>
        <v>0</v>
      </c>
      <c r="M34" s="248"/>
    </row>
    <row r="35" spans="1:13">
      <c r="A35" s="242">
        <v>31</v>
      </c>
      <c r="B35" s="314">
        <f>Table3[[#This Row],[GIAO PP]]+Table3[[#This Row],[GIAO KP]]+Table3[[#This Row],[GIAO KPK]]</f>
        <v>10000</v>
      </c>
      <c r="C35" s="245">
        <v>45712</v>
      </c>
      <c r="D35" s="247"/>
      <c r="E35" s="240"/>
      <c r="F35" s="246">
        <f t="shared" si="1"/>
        <v>0</v>
      </c>
      <c r="G35" s="247"/>
      <c r="H35" s="240">
        <v>10000</v>
      </c>
      <c r="I35" s="246">
        <f t="shared" si="2"/>
        <v>-10000</v>
      </c>
      <c r="J35" s="240"/>
      <c r="K35" s="240"/>
      <c r="L35" s="240">
        <f t="shared" si="3"/>
        <v>0</v>
      </c>
      <c r="M35" s="248"/>
    </row>
    <row r="36" spans="1:13">
      <c r="A36" s="242">
        <v>32</v>
      </c>
      <c r="B36" s="314">
        <f>Table3[[#This Row],[GIAO PP]]+Table3[[#This Row],[GIAO KP]]+Table3[[#This Row],[GIAO KPK]]</f>
        <v>10500</v>
      </c>
      <c r="C36" s="245">
        <v>45720</v>
      </c>
      <c r="D36" s="247"/>
      <c r="E36" s="240"/>
      <c r="F36" s="246">
        <f t="shared" si="1"/>
        <v>0</v>
      </c>
      <c r="G36" s="247"/>
      <c r="H36" s="240">
        <v>10500</v>
      </c>
      <c r="I36" s="246">
        <f t="shared" si="2"/>
        <v>-10500</v>
      </c>
      <c r="J36" s="240"/>
      <c r="K36" s="240"/>
      <c r="L36" s="240">
        <f t="shared" si="3"/>
        <v>0</v>
      </c>
      <c r="M36" s="248"/>
    </row>
    <row r="37" spans="1:13">
      <c r="A37" s="242">
        <v>33</v>
      </c>
      <c r="B37" s="314">
        <f>Table3[[#This Row],[GIAO PP]]+Table3[[#This Row],[GIAO KP]]+Table3[[#This Row],[GIAO KPK]]</f>
        <v>50800</v>
      </c>
      <c r="C37" s="245">
        <v>45724</v>
      </c>
      <c r="D37" s="247"/>
      <c r="E37" s="240"/>
      <c r="F37" s="246">
        <f t="shared" si="1"/>
        <v>0</v>
      </c>
      <c r="G37" s="247"/>
      <c r="H37" s="240"/>
      <c r="I37" s="246">
        <f t="shared" si="2"/>
        <v>0</v>
      </c>
      <c r="J37" s="240"/>
      <c r="K37" s="240">
        <v>50800</v>
      </c>
      <c r="L37" s="240">
        <f t="shared" si="3"/>
        <v>-50800</v>
      </c>
      <c r="M37" s="248"/>
    </row>
    <row r="38" spans="1:13">
      <c r="A38" s="242">
        <v>34</v>
      </c>
      <c r="B38" s="314">
        <f>Table3[[#This Row],[GIAO PP]]+Table3[[#This Row],[GIAO KP]]+Table3[[#This Row],[GIAO KPK]]</f>
        <v>0</v>
      </c>
      <c r="C38" s="245">
        <v>45727</v>
      </c>
      <c r="D38" s="247">
        <v>200000</v>
      </c>
      <c r="E38" s="240"/>
      <c r="F38" s="246">
        <f t="shared" si="1"/>
        <v>200000</v>
      </c>
      <c r="G38" s="247"/>
      <c r="H38" s="240"/>
      <c r="I38" s="246">
        <f t="shared" si="2"/>
        <v>0</v>
      </c>
      <c r="J38" s="240">
        <v>100000</v>
      </c>
      <c r="K38" s="240"/>
      <c r="L38" s="240">
        <f t="shared" si="3"/>
        <v>100000</v>
      </c>
      <c r="M38" s="248"/>
    </row>
    <row r="39" spans="1:13">
      <c r="A39" s="242">
        <v>35</v>
      </c>
      <c r="B39" s="314">
        <f>Table3[[#This Row],[GIAO PP]]+Table3[[#This Row],[GIAO KP]]+Table3[[#This Row],[GIAO KPK]]</f>
        <v>0</v>
      </c>
      <c r="C39" s="245">
        <v>45755</v>
      </c>
      <c r="D39" s="247">
        <v>200000</v>
      </c>
      <c r="E39" s="240"/>
      <c r="F39" s="246">
        <f t="shared" si="1"/>
        <v>200000</v>
      </c>
      <c r="G39" s="247">
        <v>50000</v>
      </c>
      <c r="H39" s="240"/>
      <c r="I39" s="246">
        <f t="shared" si="2"/>
        <v>50000</v>
      </c>
      <c r="J39" s="240">
        <v>100000</v>
      </c>
      <c r="K39" s="240"/>
      <c r="L39" s="240">
        <f t="shared" si="3"/>
        <v>100000</v>
      </c>
      <c r="M39" s="248"/>
    </row>
    <row r="40" spans="1:13">
      <c r="A40" s="242">
        <v>36</v>
      </c>
      <c r="B40" s="314">
        <f>Table3[[#This Row],[GIAO PP]]+Table3[[#This Row],[GIAO KP]]+Table3[[#This Row],[GIAO KPK]]</f>
        <v>10000</v>
      </c>
      <c r="C40" s="245">
        <v>45730</v>
      </c>
      <c r="D40" s="247"/>
      <c r="E40" s="240"/>
      <c r="F40" s="246">
        <f t="shared" si="1"/>
        <v>0</v>
      </c>
      <c r="G40" s="247"/>
      <c r="H40" s="240">
        <v>10000</v>
      </c>
      <c r="I40" s="246">
        <f t="shared" si="2"/>
        <v>-10000</v>
      </c>
      <c r="J40" s="240"/>
      <c r="K40" s="240"/>
      <c r="L40" s="240">
        <f t="shared" si="3"/>
        <v>0</v>
      </c>
      <c r="M40" s="248"/>
    </row>
    <row r="41" spans="1:13">
      <c r="A41" s="242">
        <v>37</v>
      </c>
      <c r="B41" s="314">
        <f>Table3[[#This Row],[GIAO PP]]+Table3[[#This Row],[GIAO KP]]+Table3[[#This Row],[GIAO KPK]]</f>
        <v>150000</v>
      </c>
      <c r="C41" s="245">
        <v>45734</v>
      </c>
      <c r="D41" s="247"/>
      <c r="E41" s="240">
        <v>150000</v>
      </c>
      <c r="F41" s="246">
        <f t="shared" si="1"/>
        <v>-150000</v>
      </c>
      <c r="G41" s="247"/>
      <c r="H41" s="240"/>
      <c r="I41" s="246">
        <f t="shared" si="2"/>
        <v>0</v>
      </c>
      <c r="J41" s="240"/>
      <c r="K41" s="240"/>
      <c r="L41" s="240">
        <f t="shared" si="3"/>
        <v>0</v>
      </c>
      <c r="M41" s="248"/>
    </row>
    <row r="42" spans="1:13">
      <c r="A42" s="242">
        <v>37</v>
      </c>
      <c r="B42" s="314">
        <f>Table3[[#This Row],[GIAO PP]]+Table3[[#This Row],[GIAO KP]]+Table3[[#This Row],[GIAO KPK]]</f>
        <v>20700</v>
      </c>
      <c r="C42" s="245">
        <v>45735</v>
      </c>
      <c r="D42" s="247"/>
      <c r="E42" s="240"/>
      <c r="F42" s="246">
        <f t="shared" si="1"/>
        <v>0</v>
      </c>
      <c r="G42" s="247"/>
      <c r="H42" s="240">
        <v>20700</v>
      </c>
      <c r="I42" s="246">
        <f t="shared" si="2"/>
        <v>-20700</v>
      </c>
      <c r="J42" s="240"/>
      <c r="K42" s="240"/>
      <c r="L42" s="240">
        <f t="shared" si="3"/>
        <v>0</v>
      </c>
      <c r="M42" s="248"/>
    </row>
    <row r="43" spans="1:13">
      <c r="A43" s="242"/>
      <c r="B43" s="314">
        <f>Table3[[#This Row],[GIAO PP]]+Table3[[#This Row],[GIAO KP]]+Table3[[#This Row],[GIAO KPK]]</f>
        <v>100000</v>
      </c>
      <c r="C43" s="245">
        <v>45745</v>
      </c>
      <c r="D43" s="247"/>
      <c r="E43" s="240">
        <v>70000</v>
      </c>
      <c r="F43" s="246">
        <f t="shared" si="1"/>
        <v>-70000</v>
      </c>
      <c r="G43" s="247"/>
      <c r="H43" s="240"/>
      <c r="I43" s="246">
        <f t="shared" si="2"/>
        <v>0</v>
      </c>
      <c r="J43" s="240"/>
      <c r="K43" s="240">
        <v>30000</v>
      </c>
      <c r="L43" s="240">
        <f t="shared" si="3"/>
        <v>-30000</v>
      </c>
      <c r="M43" s="248"/>
    </row>
    <row r="44" spans="1:13">
      <c r="A44" s="242"/>
      <c r="B44" s="314">
        <f>Table3[[#This Row],[GIAO PP]]+Table3[[#This Row],[GIAO KP]]+Table3[[#This Row],[GIAO KPK]]</f>
        <v>149800</v>
      </c>
      <c r="C44" s="245">
        <v>45750</v>
      </c>
      <c r="D44" s="247"/>
      <c r="E44" s="240">
        <v>149800</v>
      </c>
      <c r="F44" s="246">
        <f t="shared" si="1"/>
        <v>-149800</v>
      </c>
      <c r="G44" s="247"/>
      <c r="H44" s="240"/>
      <c r="I44" s="246">
        <f t="shared" si="2"/>
        <v>0</v>
      </c>
      <c r="J44" s="240"/>
      <c r="K44" s="240"/>
      <c r="L44" s="240">
        <f t="shared" si="3"/>
        <v>0</v>
      </c>
      <c r="M44" s="248"/>
    </row>
    <row r="45" spans="1:13">
      <c r="A45" s="242"/>
      <c r="B45" s="314">
        <f>Table3[[#This Row],[GIAO PP]]+Table3[[#This Row],[GIAO KP]]+Table3[[#This Row],[GIAO KPK]]</f>
        <v>25900</v>
      </c>
      <c r="C45" s="245">
        <v>45752</v>
      </c>
      <c r="D45" s="247"/>
      <c r="E45" s="240">
        <v>5000</v>
      </c>
      <c r="F45" s="246">
        <f t="shared" si="1"/>
        <v>-5000</v>
      </c>
      <c r="G45" s="247"/>
      <c r="H45" s="240">
        <v>20900</v>
      </c>
      <c r="I45" s="246">
        <f t="shared" si="2"/>
        <v>-20900</v>
      </c>
      <c r="J45" s="240"/>
      <c r="K45" s="240"/>
      <c r="L45" s="240">
        <f t="shared" si="3"/>
        <v>0</v>
      </c>
      <c r="M45" s="248"/>
    </row>
    <row r="46" spans="1:13">
      <c r="A46" s="242"/>
      <c r="B46" s="314">
        <f>Table3[[#This Row],[GIAO PP]]+Table3[[#This Row],[GIAO KP]]+Table3[[#This Row],[GIAO KPK]]</f>
        <v>0</v>
      </c>
      <c r="C46" s="245">
        <v>45755</v>
      </c>
      <c r="D46" s="247">
        <v>200000</v>
      </c>
      <c r="E46" s="240"/>
      <c r="F46" s="246">
        <f t="shared" si="1"/>
        <v>200000</v>
      </c>
      <c r="G46" s="247">
        <v>50000</v>
      </c>
      <c r="H46" s="240"/>
      <c r="I46" s="246">
        <f t="shared" si="2"/>
        <v>50000</v>
      </c>
      <c r="J46" s="240">
        <v>100000</v>
      </c>
      <c r="K46" s="240"/>
      <c r="L46" s="240">
        <f t="shared" si="3"/>
        <v>100000</v>
      </c>
      <c r="M46" s="248"/>
    </row>
    <row r="47" spans="1:13">
      <c r="A47" s="242"/>
      <c r="B47" s="314">
        <f>Table3[[#This Row],[GIAO PP]]+Table3[[#This Row],[GIAO KP]]+Table3[[#This Row],[GIAO KPK]]</f>
        <v>156800</v>
      </c>
      <c r="C47" s="245">
        <v>45766</v>
      </c>
      <c r="D47" s="247"/>
      <c r="E47" s="240">
        <v>136800</v>
      </c>
      <c r="F47" s="246">
        <f t="shared" si="1"/>
        <v>-136800</v>
      </c>
      <c r="G47" s="247"/>
      <c r="H47" s="240"/>
      <c r="I47" s="246">
        <f t="shared" si="2"/>
        <v>0</v>
      </c>
      <c r="J47" s="240"/>
      <c r="K47" s="240">
        <v>20000</v>
      </c>
      <c r="L47" s="240">
        <f t="shared" si="3"/>
        <v>-20000</v>
      </c>
      <c r="M47" s="248"/>
    </row>
    <row r="48" spans="1:13">
      <c r="A48" s="242"/>
      <c r="B48" s="314">
        <f>Table3[[#This Row],[GIAO PP]]+Table3[[#This Row],[GIAO KP]]+Table3[[#This Row],[GIAO KPK]]</f>
        <v>20500</v>
      </c>
      <c r="C48" s="245">
        <v>45771</v>
      </c>
      <c r="D48" s="247"/>
      <c r="E48" s="240"/>
      <c r="F48" s="246">
        <f t="shared" si="1"/>
        <v>0</v>
      </c>
      <c r="G48" s="247"/>
      <c r="H48" s="240">
        <v>20500</v>
      </c>
      <c r="I48" s="246">
        <f t="shared" si="2"/>
        <v>-20500</v>
      </c>
      <c r="J48" s="240"/>
      <c r="K48" s="240"/>
      <c r="L48" s="240">
        <f t="shared" si="3"/>
        <v>0</v>
      </c>
      <c r="M48" s="248"/>
    </row>
    <row r="49" spans="1:13">
      <c r="A49" s="242"/>
      <c r="B49" s="314">
        <f>Table3[[#This Row],[GIAO PP]]+Table3[[#This Row],[GIAO KP]]+Table3[[#This Row],[GIAO KPK]]</f>
        <v>5000</v>
      </c>
      <c r="C49" s="245">
        <v>45772</v>
      </c>
      <c r="D49" s="247"/>
      <c r="E49" s="240">
        <v>5000</v>
      </c>
      <c r="F49" s="246">
        <f t="shared" si="1"/>
        <v>-5000</v>
      </c>
      <c r="G49" s="247"/>
      <c r="H49" s="240"/>
      <c r="I49" s="246">
        <f t="shared" si="2"/>
        <v>0</v>
      </c>
      <c r="J49" s="240"/>
      <c r="K49" s="240"/>
      <c r="L49" s="240">
        <f t="shared" si="3"/>
        <v>0</v>
      </c>
      <c r="M49" s="248"/>
    </row>
    <row r="50" spans="1:13">
      <c r="A50" s="242"/>
      <c r="B50" s="314">
        <f>Table3[[#This Row],[GIAO PP]]+Table3[[#This Row],[GIAO KP]]+Table3[[#This Row],[GIAO KPK]]</f>
        <v>19000</v>
      </c>
      <c r="C50" s="266">
        <v>45775</v>
      </c>
      <c r="D50" s="267"/>
      <c r="E50" s="268">
        <v>19000</v>
      </c>
      <c r="F50" s="269">
        <f t="shared" si="1"/>
        <v>-19000</v>
      </c>
      <c r="G50" s="267"/>
      <c r="H50" s="268"/>
      <c r="I50" s="269">
        <f t="shared" si="2"/>
        <v>0</v>
      </c>
      <c r="J50" s="268"/>
      <c r="K50" s="268"/>
      <c r="L50" s="268">
        <f t="shared" si="3"/>
        <v>0</v>
      </c>
      <c r="M50" s="248" t="s">
        <v>156</v>
      </c>
    </row>
    <row r="51" spans="1:13">
      <c r="A51" s="242"/>
      <c r="B51" s="314">
        <f>Table3[[#This Row],[GIAO PP]]+Table3[[#This Row],[GIAO KP]]+Table3[[#This Row],[GIAO KPK]]</f>
        <v>0</v>
      </c>
      <c r="C51" s="245">
        <v>45776</v>
      </c>
      <c r="D51" s="247">
        <v>300000</v>
      </c>
      <c r="E51" s="240"/>
      <c r="F51" s="246">
        <f t="shared" si="1"/>
        <v>300000</v>
      </c>
      <c r="G51" s="247">
        <v>40000</v>
      </c>
      <c r="H51" s="240"/>
      <c r="I51" s="246">
        <f t="shared" si="2"/>
        <v>40000</v>
      </c>
      <c r="J51" s="240">
        <v>100000</v>
      </c>
      <c r="K51" s="240"/>
      <c r="L51" s="240">
        <f t="shared" si="3"/>
        <v>100000</v>
      </c>
      <c r="M51" s="248"/>
    </row>
    <row r="52" spans="1:13">
      <c r="A52" s="242"/>
      <c r="B52" s="314">
        <f>Table3[[#This Row],[GIAO PP]]+Table3[[#This Row],[GIAO KP]]+Table3[[#This Row],[GIAO KPK]]</f>
        <v>0</v>
      </c>
      <c r="C52" s="245">
        <v>45790</v>
      </c>
      <c r="D52" s="247">
        <v>207000</v>
      </c>
      <c r="E52" s="240"/>
      <c r="F52" s="246">
        <f t="shared" si="1"/>
        <v>207000</v>
      </c>
      <c r="G52" s="247"/>
      <c r="H52" s="240"/>
      <c r="I52" s="246">
        <f t="shared" si="2"/>
        <v>0</v>
      </c>
      <c r="J52" s="240"/>
      <c r="K52" s="240"/>
      <c r="L52" s="240">
        <f t="shared" si="3"/>
        <v>0</v>
      </c>
      <c r="M52" s="248"/>
    </row>
    <row r="53" spans="1:13">
      <c r="A53" s="242"/>
      <c r="B53" s="314">
        <f>Table3[[#This Row],[GIAO PP]]+Table3[[#This Row],[GIAO KP]]+Table3[[#This Row],[GIAO KPK]]</f>
        <v>140069</v>
      </c>
      <c r="C53" s="245">
        <v>45794</v>
      </c>
      <c r="D53" s="247"/>
      <c r="E53" s="240">
        <v>110069</v>
      </c>
      <c r="F53" s="246">
        <f t="shared" si="1"/>
        <v>-110069</v>
      </c>
      <c r="G53" s="247"/>
      <c r="H53" s="240"/>
      <c r="I53" s="246">
        <f t="shared" si="2"/>
        <v>0</v>
      </c>
      <c r="J53" s="240"/>
      <c r="K53" s="240">
        <v>30000</v>
      </c>
      <c r="L53" s="240">
        <f t="shared" si="3"/>
        <v>-30000</v>
      </c>
      <c r="M53" s="248"/>
    </row>
    <row r="54" spans="1:13">
      <c r="A54" s="242"/>
      <c r="B54" s="314">
        <f>Table3[[#This Row],[GIAO PP]]+Table3[[#This Row],[GIAO KP]]+Table3[[#This Row],[GIAO KPK]]</f>
        <v>20300</v>
      </c>
      <c r="C54" s="245">
        <v>45797</v>
      </c>
      <c r="D54" s="247"/>
      <c r="E54" s="240"/>
      <c r="F54" s="246">
        <f t="shared" si="1"/>
        <v>0</v>
      </c>
      <c r="G54" s="247"/>
      <c r="H54" s="240">
        <v>20300</v>
      </c>
      <c r="I54" s="246">
        <f t="shared" si="2"/>
        <v>-20300</v>
      </c>
      <c r="J54" s="240"/>
      <c r="K54" s="240"/>
      <c r="L54" s="240">
        <f t="shared" si="3"/>
        <v>0</v>
      </c>
      <c r="M54" s="248"/>
    </row>
    <row r="55" spans="1:13">
      <c r="A55" s="242"/>
      <c r="B55" s="314">
        <f>Table3[[#This Row],[GIAO PP]]+Table3[[#This Row],[GIAO KP]]+Table3[[#This Row],[GIAO KPK]]</f>
        <v>0</v>
      </c>
      <c r="C55" s="245">
        <v>45805</v>
      </c>
      <c r="D55" s="247">
        <v>310000</v>
      </c>
      <c r="E55" s="240"/>
      <c r="F55" s="246">
        <f t="shared" si="1"/>
        <v>310000</v>
      </c>
      <c r="G55" s="247">
        <v>40000</v>
      </c>
      <c r="H55" s="240"/>
      <c r="I55" s="246">
        <f t="shared" si="2"/>
        <v>40000</v>
      </c>
      <c r="J55" s="240">
        <v>50000</v>
      </c>
      <c r="K55" s="240"/>
      <c r="L55" s="240">
        <f t="shared" si="3"/>
        <v>50000</v>
      </c>
      <c r="M55" s="248"/>
    </row>
    <row r="56" spans="1:13">
      <c r="A56" s="242"/>
      <c r="B56" s="314">
        <f>Table3[[#This Row],[GIAO PP]]+Table3[[#This Row],[GIAO KP]]+Table3[[#This Row],[GIAO KPK]]</f>
        <v>140000</v>
      </c>
      <c r="C56" s="245">
        <v>45818</v>
      </c>
      <c r="D56" s="247"/>
      <c r="E56" s="240">
        <v>120000</v>
      </c>
      <c r="F56" s="246">
        <f t="shared" si="1"/>
        <v>-120000</v>
      </c>
      <c r="G56" s="247"/>
      <c r="H56" s="240">
        <v>20000</v>
      </c>
      <c r="I56" s="246">
        <f t="shared" si="2"/>
        <v>-20000</v>
      </c>
      <c r="J56" s="240"/>
      <c r="K56" s="240"/>
      <c r="L56" s="240">
        <f t="shared" si="3"/>
        <v>0</v>
      </c>
      <c r="M56" s="248"/>
    </row>
    <row r="57" spans="1:13">
      <c r="A57" s="242"/>
      <c r="B57" s="314">
        <f>Table3[[#This Row],[GIAO PP]]+Table3[[#This Row],[GIAO KP]]+Table3[[#This Row],[GIAO KPK]]</f>
        <v>20000</v>
      </c>
      <c r="C57" s="245">
        <v>45819</v>
      </c>
      <c r="D57" s="247"/>
      <c r="E57" s="240">
        <v>10000</v>
      </c>
      <c r="F57" s="246">
        <f t="shared" si="1"/>
        <v>-10000</v>
      </c>
      <c r="G57" s="247"/>
      <c r="H57" s="240">
        <v>10000</v>
      </c>
      <c r="I57" s="246">
        <f t="shared" si="2"/>
        <v>-10000</v>
      </c>
      <c r="J57" s="240"/>
      <c r="K57" s="240"/>
      <c r="L57" s="240">
        <f t="shared" si="3"/>
        <v>0</v>
      </c>
      <c r="M57" s="248"/>
    </row>
    <row r="58" spans="1:13">
      <c r="A58" s="242"/>
      <c r="B58" s="314">
        <f>Table3[[#This Row],[GIAO PP]]+Table3[[#This Row],[GIAO KP]]+Table3[[#This Row],[GIAO KPK]]</f>
        <v>19400</v>
      </c>
      <c r="C58" s="245">
        <v>45820</v>
      </c>
      <c r="D58" s="247">
        <v>200000</v>
      </c>
      <c r="E58" s="240">
        <v>9400</v>
      </c>
      <c r="F58" s="246">
        <f t="shared" si="1"/>
        <v>190600</v>
      </c>
      <c r="G58" s="257"/>
      <c r="H58" s="258">
        <v>10000</v>
      </c>
      <c r="I58" s="246">
        <f t="shared" si="2"/>
        <v>-10000</v>
      </c>
      <c r="J58" s="258"/>
      <c r="K58" s="258"/>
      <c r="L58" s="240">
        <f t="shared" si="3"/>
        <v>0</v>
      </c>
      <c r="M58" s="248"/>
    </row>
    <row r="59" spans="1:13">
      <c r="A59" s="242"/>
      <c r="B59" s="314">
        <f>Table3[[#This Row],[GIAO PP]]+Table3[[#This Row],[GIAO KP]]+Table3[[#This Row],[GIAO KPK]]</f>
        <v>50000</v>
      </c>
      <c r="C59" s="245">
        <v>45831</v>
      </c>
      <c r="D59" s="247"/>
      <c r="E59" s="240">
        <v>50000</v>
      </c>
      <c r="F59" s="246"/>
      <c r="G59" s="257"/>
      <c r="H59" s="258"/>
      <c r="I59" s="246"/>
      <c r="J59" s="258"/>
      <c r="K59" s="258"/>
      <c r="L59" s="240"/>
      <c r="M59" s="248"/>
    </row>
    <row r="60" spans="1:13">
      <c r="A60" s="242"/>
      <c r="B60" s="314">
        <f>Table3[[#This Row],[GIAO PP]]+Table3[[#This Row],[GIAO KP]]+Table3[[#This Row],[GIAO KPK]]</f>
        <v>0</v>
      </c>
      <c r="C60" s="245">
        <v>45833</v>
      </c>
      <c r="D60" s="247">
        <v>300000</v>
      </c>
      <c r="E60" s="240"/>
      <c r="F60" s="246">
        <f t="shared" si="1"/>
        <v>300000</v>
      </c>
      <c r="G60" s="247">
        <v>40000</v>
      </c>
      <c r="H60" s="240"/>
      <c r="I60" s="246">
        <f t="shared" si="2"/>
        <v>40000</v>
      </c>
      <c r="J60" s="240">
        <v>50000</v>
      </c>
      <c r="K60" s="240"/>
      <c r="L60" s="240">
        <f t="shared" si="3"/>
        <v>50000</v>
      </c>
      <c r="M60" s="248"/>
    </row>
    <row r="61" spans="1:13">
      <c r="A61" s="242"/>
      <c r="B61" s="314">
        <f>Table3[[#This Row],[GIAO PP]]+Table3[[#This Row],[GIAO KP]]+Table3[[#This Row],[GIAO KPK]]</f>
        <v>0</v>
      </c>
      <c r="C61" s="245">
        <v>45855</v>
      </c>
      <c r="D61" s="247">
        <v>200000</v>
      </c>
      <c r="E61" s="240"/>
      <c r="F61" s="246">
        <f t="shared" si="1"/>
        <v>200000</v>
      </c>
      <c r="G61" s="247"/>
      <c r="H61" s="240"/>
      <c r="I61" s="246"/>
      <c r="J61" s="240"/>
      <c r="K61" s="240"/>
      <c r="L61" s="240"/>
      <c r="M61" s="248"/>
    </row>
    <row r="62" spans="1:13">
      <c r="A62" s="242"/>
      <c r="B62" s="314">
        <f>Table3[[#This Row],[GIAO PP]]+Table3[[#This Row],[GIAO KP]]+Table3[[#This Row],[GIAO KPK]]</f>
        <v>20000</v>
      </c>
      <c r="C62" s="245">
        <v>45836</v>
      </c>
      <c r="D62" s="247"/>
      <c r="E62" s="240"/>
      <c r="F62" s="246">
        <f t="shared" si="1"/>
        <v>0</v>
      </c>
      <c r="G62" s="247"/>
      <c r="H62" s="240">
        <v>20000</v>
      </c>
      <c r="I62" s="246">
        <f t="shared" si="2"/>
        <v>-20000</v>
      </c>
      <c r="J62" s="240"/>
      <c r="K62" s="240"/>
      <c r="L62" s="240">
        <f t="shared" si="3"/>
        <v>0</v>
      </c>
      <c r="M62" s="248"/>
    </row>
    <row r="63" spans="1:13">
      <c r="A63" s="242"/>
      <c r="B63" s="314">
        <f>Table3[[#This Row],[GIAO PP]]+Table3[[#This Row],[GIAO KP]]+Table3[[#This Row],[GIAO KPK]]</f>
        <v>130000</v>
      </c>
      <c r="C63" s="245">
        <v>45849</v>
      </c>
      <c r="D63" s="247"/>
      <c r="E63" s="240">
        <v>100000</v>
      </c>
      <c r="F63" s="246">
        <f t="shared" si="1"/>
        <v>-100000</v>
      </c>
      <c r="G63" s="247"/>
      <c r="H63" s="240"/>
      <c r="I63" s="246">
        <f t="shared" si="2"/>
        <v>0</v>
      </c>
      <c r="J63" s="240"/>
      <c r="K63" s="240">
        <v>30000</v>
      </c>
      <c r="L63" s="240">
        <f t="shared" si="3"/>
        <v>-30000</v>
      </c>
      <c r="M63" s="240"/>
    </row>
    <row r="64" spans="1:13">
      <c r="A64" s="242"/>
      <c r="B64" s="314">
        <f>Table3[[#This Row],[GIAO PP]]+Table3[[#This Row],[GIAO KP]]+Table3[[#This Row],[GIAO KPK]]</f>
        <v>9300</v>
      </c>
      <c r="C64" s="245">
        <v>45856</v>
      </c>
      <c r="D64" s="247"/>
      <c r="E64" s="240"/>
      <c r="F64" s="246">
        <f t="shared" si="1"/>
        <v>0</v>
      </c>
      <c r="G64" s="247"/>
      <c r="H64" s="240">
        <v>9300</v>
      </c>
      <c r="I64" s="246">
        <f t="shared" si="2"/>
        <v>-9300</v>
      </c>
      <c r="J64" s="240"/>
      <c r="K64" s="240"/>
      <c r="L64" s="240">
        <f t="shared" si="3"/>
        <v>0</v>
      </c>
      <c r="M64" s="240"/>
    </row>
    <row r="65" spans="1:13">
      <c r="A65" s="242"/>
      <c r="B65" s="314">
        <f>Table3[[#This Row],[GIAO PP]]+Table3[[#This Row],[GIAO KP]]+Table3[[#This Row],[GIAO KPK]]</f>
        <v>49200</v>
      </c>
      <c r="C65" s="245">
        <v>45860</v>
      </c>
      <c r="D65" s="247"/>
      <c r="E65" s="240">
        <v>49200</v>
      </c>
      <c r="F65" s="246">
        <f t="shared" si="1"/>
        <v>-49200</v>
      </c>
      <c r="G65" s="247"/>
      <c r="H65" s="240"/>
      <c r="I65" s="246">
        <f t="shared" si="2"/>
        <v>0</v>
      </c>
      <c r="J65" s="240"/>
      <c r="K65" s="240"/>
      <c r="L65" s="240">
        <f t="shared" si="3"/>
        <v>0</v>
      </c>
      <c r="M65" s="240"/>
    </row>
    <row r="66" spans="1:13">
      <c r="B66" s="14">
        <f>Table3[[#This Row],[GIAO PP]]+Table3[[#This Row],[GIAO KP]]+Table3[[#This Row],[GIAO KPK]]</f>
        <v>0</v>
      </c>
      <c r="C66" s="245"/>
      <c r="D66" s="247"/>
      <c r="E66" s="240"/>
      <c r="F66" s="246">
        <f t="shared" si="1"/>
        <v>0</v>
      </c>
      <c r="G66" s="247"/>
      <c r="H66" s="240"/>
      <c r="I66" s="246">
        <f t="shared" si="2"/>
        <v>0</v>
      </c>
      <c r="J66" s="240"/>
      <c r="K66" s="240"/>
      <c r="L66" s="240">
        <f t="shared" si="3"/>
        <v>0</v>
      </c>
      <c r="M66" s="240"/>
    </row>
    <row r="67" spans="1:13">
      <c r="B67" s="14">
        <f>Table3[[#This Row],[GIAO PP]]+Table3[[#This Row],[GIAO KP]]+Table3[[#This Row],[GIAO KPK]]</f>
        <v>0</v>
      </c>
      <c r="C67" s="245"/>
      <c r="D67" s="247"/>
      <c r="E67" s="240"/>
      <c r="F67" s="246">
        <f t="shared" si="1"/>
        <v>0</v>
      </c>
      <c r="G67" s="247"/>
      <c r="H67" s="240"/>
      <c r="I67" s="246">
        <f t="shared" si="2"/>
        <v>0</v>
      </c>
      <c r="J67" s="240"/>
      <c r="K67" s="240"/>
      <c r="L67" s="240">
        <f t="shared" si="3"/>
        <v>0</v>
      </c>
      <c r="M67" s="240"/>
    </row>
    <row r="68" spans="1:13">
      <c r="B68" s="14">
        <f>Table3[[#This Row],[GIAO PP]]+Table3[[#This Row],[GIAO KP]]+Table3[[#This Row],[GIAO KPK]]</f>
        <v>0</v>
      </c>
      <c r="C68" s="245"/>
      <c r="D68" s="247"/>
      <c r="E68" s="240"/>
      <c r="F68" s="246">
        <f t="shared" si="1"/>
        <v>0</v>
      </c>
      <c r="G68" s="247"/>
      <c r="H68" s="240"/>
      <c r="I68" s="246">
        <f t="shared" si="2"/>
        <v>0</v>
      </c>
      <c r="J68" s="240"/>
      <c r="K68" s="240"/>
      <c r="L68" s="240">
        <f t="shared" si="3"/>
        <v>0</v>
      </c>
      <c r="M68" s="240"/>
    </row>
    <row r="69" spans="1:13">
      <c r="B69" s="14">
        <f>Table3[[#This Row],[GIAO PP]]+Table3[[#This Row],[GIAO KP]]+Table3[[#This Row],[GIAO KPK]]</f>
        <v>0</v>
      </c>
      <c r="C69" s="245"/>
      <c r="D69" s="247"/>
      <c r="E69" s="240"/>
      <c r="F69" s="246">
        <f t="shared" si="1"/>
        <v>0</v>
      </c>
      <c r="G69" s="247"/>
      <c r="H69" s="240"/>
      <c r="I69" s="246">
        <f t="shared" si="2"/>
        <v>0</v>
      </c>
      <c r="J69" s="240"/>
      <c r="K69" s="240"/>
      <c r="L69" s="240">
        <f t="shared" si="3"/>
        <v>0</v>
      </c>
      <c r="M69" s="240"/>
    </row>
    <row r="70" spans="1:13">
      <c r="B70" s="14">
        <f>Table3[[#This Row],[GIAO PP]]+Table3[[#This Row],[GIAO KP]]+Table3[[#This Row],[GIAO KPK]]</f>
        <v>0</v>
      </c>
      <c r="C70" s="245"/>
      <c r="D70" s="247"/>
      <c r="E70" s="240"/>
      <c r="F70" s="246">
        <f t="shared" si="1"/>
        <v>0</v>
      </c>
      <c r="G70" s="247"/>
      <c r="H70" s="240"/>
      <c r="I70" s="246">
        <f t="shared" si="2"/>
        <v>0</v>
      </c>
      <c r="J70" s="240"/>
      <c r="K70" s="240"/>
      <c r="L70" s="240">
        <f t="shared" si="3"/>
        <v>0</v>
      </c>
      <c r="M70" s="240"/>
    </row>
    <row r="71" spans="1:13">
      <c r="B71" s="14">
        <f>Table3[[#This Row],[GIAO PP]]+Table3[[#This Row],[GIAO KP]]+Table3[[#This Row],[GIAO KPK]]</f>
        <v>0</v>
      </c>
      <c r="D71" s="247"/>
      <c r="E71" s="240"/>
      <c r="F71" s="246">
        <f t="shared" si="1"/>
        <v>0</v>
      </c>
      <c r="G71" s="247"/>
      <c r="H71" s="240"/>
      <c r="I71" s="246">
        <f t="shared" si="2"/>
        <v>0</v>
      </c>
      <c r="J71" s="240"/>
      <c r="K71" s="240"/>
      <c r="L71" s="240">
        <f t="shared" si="3"/>
        <v>0</v>
      </c>
      <c r="M71" s="240"/>
    </row>
    <row r="72" spans="1:13">
      <c r="B72" s="14">
        <f>Table3[[#This Row],[GIAO PP]]+Table3[[#This Row],[GIAO KP]]+Table3[[#This Row],[GIAO KPK]]</f>
        <v>0</v>
      </c>
      <c r="D72" s="247"/>
      <c r="E72" s="240"/>
      <c r="F72" s="246">
        <f t="shared" si="1"/>
        <v>0</v>
      </c>
      <c r="G72" s="247"/>
      <c r="H72" s="240"/>
      <c r="I72" s="246">
        <f t="shared" si="2"/>
        <v>0</v>
      </c>
      <c r="J72" s="240"/>
      <c r="K72" s="240"/>
      <c r="L72" s="240">
        <f t="shared" si="3"/>
        <v>0</v>
      </c>
      <c r="M72" s="240"/>
    </row>
    <row r="73" spans="1:13">
      <c r="B73" s="14">
        <f>Table3[[#This Row],[GIAO PP]]+Table3[[#This Row],[GIAO KP]]+Table3[[#This Row],[GIAO KPK]]</f>
        <v>0</v>
      </c>
      <c r="D73" s="247"/>
      <c r="E73" s="240"/>
      <c r="F73" s="246">
        <f t="shared" si="1"/>
        <v>0</v>
      </c>
      <c r="G73" s="247"/>
      <c r="H73" s="240"/>
      <c r="I73" s="246">
        <f t="shared" si="2"/>
        <v>0</v>
      </c>
      <c r="J73" s="240"/>
      <c r="K73" s="240"/>
      <c r="L73" s="240">
        <f t="shared" si="3"/>
        <v>0</v>
      </c>
      <c r="M73" s="240"/>
    </row>
    <row r="74" spans="1:13">
      <c r="B74" s="14">
        <f>Table3[[#This Row],[GIAO PP]]+Table3[[#This Row],[GIAO KP]]+Table3[[#This Row],[GIAO KPK]]</f>
        <v>0</v>
      </c>
      <c r="D74" s="247"/>
      <c r="E74" s="240"/>
      <c r="F74" s="246">
        <f t="shared" si="1"/>
        <v>0</v>
      </c>
      <c r="G74" s="247"/>
      <c r="H74" s="240"/>
      <c r="I74" s="246">
        <f t="shared" si="2"/>
        <v>0</v>
      </c>
      <c r="J74" s="240"/>
      <c r="K74" s="240"/>
      <c r="L74" s="240">
        <f t="shared" si="3"/>
        <v>0</v>
      </c>
      <c r="M74" s="240"/>
    </row>
    <row r="75" spans="1:13">
      <c r="B75" s="14">
        <f>Table3[[#This Row],[GIAO PP]]+Table3[[#This Row],[GIAO KP]]+Table3[[#This Row],[GIAO KPK]]</f>
        <v>0</v>
      </c>
      <c r="D75" s="247"/>
      <c r="E75" s="240"/>
      <c r="F75" s="246">
        <f t="shared" si="1"/>
        <v>0</v>
      </c>
      <c r="G75" s="247"/>
      <c r="H75" s="240"/>
      <c r="I75" s="246">
        <f t="shared" si="2"/>
        <v>0</v>
      </c>
      <c r="J75" s="240"/>
      <c r="K75" s="240"/>
      <c r="L75" s="240">
        <f t="shared" si="3"/>
        <v>0</v>
      </c>
      <c r="M75" s="240"/>
    </row>
    <row r="76" spans="1:13">
      <c r="B76" s="14">
        <f>Table3[[#This Row],[GIAO PP]]+Table3[[#This Row],[GIAO KP]]+Table3[[#This Row],[GIAO KPK]]</f>
        <v>0</v>
      </c>
      <c r="D76" s="247"/>
      <c r="E76" s="240"/>
      <c r="F76" s="246">
        <f t="shared" si="1"/>
        <v>0</v>
      </c>
      <c r="G76" s="247"/>
      <c r="H76" s="240"/>
      <c r="I76" s="246">
        <f t="shared" si="2"/>
        <v>0</v>
      </c>
      <c r="J76" s="240"/>
      <c r="K76" s="240"/>
      <c r="L76" s="240">
        <f t="shared" si="3"/>
        <v>0</v>
      </c>
      <c r="M76" s="240"/>
    </row>
    <row r="77" spans="1:13">
      <c r="B77" s="14">
        <f>Table3[[#This Row],[GIAO PP]]+Table3[[#This Row],[GIAO KP]]+Table3[[#This Row],[GIAO KPK]]</f>
        <v>0</v>
      </c>
      <c r="D77" s="247"/>
      <c r="E77" s="240"/>
      <c r="F77" s="246">
        <f t="shared" si="1"/>
        <v>0</v>
      </c>
      <c r="G77" s="247"/>
      <c r="H77" s="240"/>
      <c r="I77" s="246">
        <f t="shared" si="2"/>
        <v>0</v>
      </c>
      <c r="J77" s="240"/>
      <c r="K77" s="240"/>
      <c r="L77" s="240">
        <f t="shared" si="3"/>
        <v>0</v>
      </c>
      <c r="M77" s="240"/>
    </row>
    <row r="78" spans="1:13">
      <c r="B78" s="14">
        <f>Table3[[#This Row],[GIAO PP]]+Table3[[#This Row],[GIAO KP]]+Table3[[#This Row],[GIAO KPK]]</f>
        <v>0</v>
      </c>
      <c r="D78" s="247"/>
      <c r="E78" s="240"/>
      <c r="F78" s="246">
        <f t="shared" si="1"/>
        <v>0</v>
      </c>
      <c r="G78" s="247"/>
      <c r="H78" s="240"/>
      <c r="I78" s="246">
        <f t="shared" si="2"/>
        <v>0</v>
      </c>
      <c r="J78" s="240"/>
      <c r="K78" s="240"/>
      <c r="L78" s="240">
        <f t="shared" si="3"/>
        <v>0</v>
      </c>
      <c r="M78" s="240"/>
    </row>
    <row r="79" spans="1:13">
      <c r="B79" s="14">
        <f>Table3[[#This Row],[GIAO PP]]+Table3[[#This Row],[GIAO KP]]+Table3[[#This Row],[GIAO KPK]]</f>
        <v>0</v>
      </c>
      <c r="D79" s="247"/>
      <c r="E79" s="240"/>
      <c r="F79" s="246">
        <f t="shared" si="1"/>
        <v>0</v>
      </c>
      <c r="G79" s="247"/>
      <c r="H79" s="240"/>
      <c r="I79" s="246">
        <f t="shared" si="2"/>
        <v>0</v>
      </c>
      <c r="J79" s="240"/>
      <c r="K79" s="240"/>
      <c r="L79" s="240">
        <f t="shared" si="3"/>
        <v>0</v>
      </c>
      <c r="M79" s="240"/>
    </row>
    <row r="80" spans="1:13">
      <c r="B80" s="14">
        <f>Table3[[#This Row],[GIAO PP]]+Table3[[#This Row],[GIAO KP]]+Table3[[#This Row],[GIAO KPK]]</f>
        <v>0</v>
      </c>
      <c r="D80" s="247"/>
      <c r="E80" s="240"/>
      <c r="F80" s="246">
        <f t="shared" si="1"/>
        <v>0</v>
      </c>
      <c r="G80" s="247"/>
      <c r="H80" s="240"/>
      <c r="I80" s="246">
        <f t="shared" si="2"/>
        <v>0</v>
      </c>
      <c r="J80" s="240"/>
      <c r="K80" s="240"/>
      <c r="L80" s="240">
        <f t="shared" si="3"/>
        <v>0</v>
      </c>
      <c r="M80" s="240"/>
    </row>
    <row r="81" spans="2:13">
      <c r="B81" s="14">
        <f>Table3[[#This Row],[GIAO PP]]+Table3[[#This Row],[GIAO KP]]+Table3[[#This Row],[GIAO KPK]]</f>
        <v>0</v>
      </c>
      <c r="D81" s="247"/>
      <c r="E81" s="240"/>
      <c r="F81" s="246">
        <f t="shared" ref="F81:F105" si="4">D81-E81</f>
        <v>0</v>
      </c>
      <c r="G81" s="247"/>
      <c r="H81" s="240"/>
      <c r="I81" s="246">
        <f t="shared" ref="I81:I100" si="5">G81-H81</f>
        <v>0</v>
      </c>
      <c r="J81" s="240"/>
      <c r="K81" s="240"/>
      <c r="L81" s="240">
        <f t="shared" ref="L81:L103" si="6">J81-K81</f>
        <v>0</v>
      </c>
      <c r="M81" s="240"/>
    </row>
    <row r="82" spans="2:13">
      <c r="B82" s="14">
        <f>Table3[[#This Row],[GIAO PP]]+Table3[[#This Row],[GIAO KP]]+Table3[[#This Row],[GIAO KPK]]</f>
        <v>0</v>
      </c>
      <c r="D82" s="247"/>
      <c r="E82" s="240"/>
      <c r="F82" s="246">
        <f t="shared" si="4"/>
        <v>0</v>
      </c>
      <c r="G82" s="247"/>
      <c r="H82" s="240"/>
      <c r="I82" s="246">
        <f t="shared" si="5"/>
        <v>0</v>
      </c>
      <c r="J82" s="240"/>
      <c r="K82" s="240"/>
      <c r="L82" s="240">
        <f t="shared" si="6"/>
        <v>0</v>
      </c>
      <c r="M82" s="240"/>
    </row>
    <row r="83" spans="2:13">
      <c r="B83" s="14">
        <f>Table3[[#This Row],[GIAO PP]]+Table3[[#This Row],[GIAO KP]]+Table3[[#This Row],[GIAO KPK]]</f>
        <v>0</v>
      </c>
      <c r="D83" s="247"/>
      <c r="E83" s="240"/>
      <c r="F83" s="246">
        <f t="shared" si="4"/>
        <v>0</v>
      </c>
      <c r="G83" s="247"/>
      <c r="H83" s="240"/>
      <c r="I83" s="246">
        <f t="shared" si="5"/>
        <v>0</v>
      </c>
      <c r="J83" s="240"/>
      <c r="K83" s="240"/>
      <c r="L83" s="240">
        <f t="shared" si="6"/>
        <v>0</v>
      </c>
      <c r="M83" s="240"/>
    </row>
    <row r="84" spans="2:13">
      <c r="B84" s="14">
        <f>Table3[[#This Row],[GIAO PP]]+Table3[[#This Row],[GIAO KP]]+Table3[[#This Row],[GIAO KPK]]</f>
        <v>0</v>
      </c>
      <c r="D84" s="247"/>
      <c r="E84" s="240"/>
      <c r="F84" s="246">
        <f t="shared" si="4"/>
        <v>0</v>
      </c>
      <c r="G84" s="247"/>
      <c r="H84" s="240"/>
      <c r="I84" s="246">
        <f t="shared" si="5"/>
        <v>0</v>
      </c>
      <c r="J84" s="240"/>
      <c r="K84" s="240"/>
      <c r="L84" s="240">
        <f t="shared" si="6"/>
        <v>0</v>
      </c>
      <c r="M84" s="240"/>
    </row>
    <row r="85" spans="2:13">
      <c r="B85" s="14">
        <f>Table3[[#This Row],[GIAO PP]]+Table3[[#This Row],[GIAO KP]]+Table3[[#This Row],[GIAO KPK]]</f>
        <v>0</v>
      </c>
      <c r="D85" s="240"/>
      <c r="E85" s="240"/>
      <c r="F85" s="240">
        <f t="shared" si="4"/>
        <v>0</v>
      </c>
      <c r="G85" s="240"/>
      <c r="H85" s="240"/>
      <c r="I85" s="240">
        <f t="shared" si="5"/>
        <v>0</v>
      </c>
      <c r="J85" s="240"/>
      <c r="K85" s="240"/>
      <c r="L85" s="240">
        <f t="shared" si="6"/>
        <v>0</v>
      </c>
      <c r="M85" s="240"/>
    </row>
    <row r="86" spans="2:13">
      <c r="B86" s="14">
        <f>Table3[[#This Row],[GIAO PP]]+Table3[[#This Row],[GIAO KP]]+Table3[[#This Row],[GIAO KPK]]</f>
        <v>0</v>
      </c>
      <c r="D86" s="240"/>
      <c r="E86" s="240"/>
      <c r="F86" s="240">
        <f t="shared" si="4"/>
        <v>0</v>
      </c>
      <c r="G86" s="240"/>
      <c r="H86" s="240"/>
      <c r="I86" s="240">
        <f t="shared" si="5"/>
        <v>0</v>
      </c>
      <c r="J86" s="240"/>
      <c r="K86" s="240"/>
      <c r="L86" s="240">
        <f t="shared" si="6"/>
        <v>0</v>
      </c>
      <c r="M86" s="240"/>
    </row>
    <row r="87" spans="2:13">
      <c r="B87" s="14">
        <f>Table3[[#This Row],[GIAO PP]]+Table3[[#This Row],[GIAO KP]]+Table3[[#This Row],[GIAO KPK]]</f>
        <v>0</v>
      </c>
      <c r="D87" s="240"/>
      <c r="E87" s="240"/>
      <c r="F87" s="240">
        <f t="shared" si="4"/>
        <v>0</v>
      </c>
      <c r="G87" s="240"/>
      <c r="H87" s="240"/>
      <c r="I87" s="240">
        <f t="shared" si="5"/>
        <v>0</v>
      </c>
      <c r="J87" s="240"/>
      <c r="K87" s="240"/>
      <c r="L87" s="240">
        <f t="shared" si="6"/>
        <v>0</v>
      </c>
      <c r="M87" s="240"/>
    </row>
    <row r="88" spans="2:13">
      <c r="B88" s="14">
        <f>Table3[[#This Row],[GIAO PP]]+Table3[[#This Row],[GIAO KP]]+Table3[[#This Row],[GIAO KPK]]</f>
        <v>0</v>
      </c>
      <c r="D88" s="240"/>
      <c r="E88" s="240"/>
      <c r="F88" s="240">
        <f t="shared" si="4"/>
        <v>0</v>
      </c>
      <c r="G88" s="240"/>
      <c r="H88" s="240"/>
      <c r="I88" s="240">
        <f t="shared" si="5"/>
        <v>0</v>
      </c>
      <c r="J88" s="240"/>
      <c r="K88" s="240"/>
      <c r="L88" s="240">
        <f t="shared" si="6"/>
        <v>0</v>
      </c>
      <c r="M88" s="240"/>
    </row>
    <row r="89" spans="2:13">
      <c r="B89" s="14">
        <f>Table3[[#This Row],[GIAO PP]]+Table3[[#This Row],[GIAO KP]]+Table3[[#This Row],[GIAO KPK]]</f>
        <v>0</v>
      </c>
      <c r="D89" s="240"/>
      <c r="E89" s="240"/>
      <c r="F89" s="240">
        <f t="shared" si="4"/>
        <v>0</v>
      </c>
      <c r="G89" s="240"/>
      <c r="H89" s="240"/>
      <c r="I89" s="240">
        <f t="shared" si="5"/>
        <v>0</v>
      </c>
      <c r="J89" s="240"/>
      <c r="K89" s="240"/>
      <c r="L89" s="240">
        <f t="shared" si="6"/>
        <v>0</v>
      </c>
      <c r="M89" s="240"/>
    </row>
    <row r="90" spans="2:13">
      <c r="B90" s="14">
        <f>Table3[[#This Row],[GIAO PP]]+Table3[[#This Row],[GIAO KP]]+Table3[[#This Row],[GIAO KPK]]</f>
        <v>0</v>
      </c>
      <c r="D90" s="240"/>
      <c r="E90" s="240"/>
      <c r="F90" s="240">
        <f t="shared" si="4"/>
        <v>0</v>
      </c>
      <c r="G90" s="240"/>
      <c r="H90" s="240"/>
      <c r="I90" s="240">
        <f t="shared" si="5"/>
        <v>0</v>
      </c>
      <c r="J90" s="240"/>
      <c r="K90" s="240"/>
      <c r="L90" s="240">
        <f t="shared" si="6"/>
        <v>0</v>
      </c>
      <c r="M90" s="240"/>
    </row>
    <row r="91" spans="2:13">
      <c r="B91" s="14">
        <f>Table3[[#This Row],[GIAO PP]]+Table3[[#This Row],[GIAO KP]]+Table3[[#This Row],[GIAO KPK]]</f>
        <v>0</v>
      </c>
      <c r="D91" s="240"/>
      <c r="E91" s="240"/>
      <c r="F91" s="240">
        <f t="shared" si="4"/>
        <v>0</v>
      </c>
      <c r="G91" s="240"/>
      <c r="H91" s="240"/>
      <c r="I91" s="240">
        <f t="shared" si="5"/>
        <v>0</v>
      </c>
      <c r="J91" s="240"/>
      <c r="K91" s="240"/>
      <c r="L91" s="240">
        <f t="shared" si="6"/>
        <v>0</v>
      </c>
      <c r="M91" s="240"/>
    </row>
    <row r="92" spans="2:13">
      <c r="B92" s="14">
        <f>Table3[[#This Row],[GIAO PP]]+Table3[[#This Row],[GIAO KP]]+Table3[[#This Row],[GIAO KPK]]</f>
        <v>0</v>
      </c>
      <c r="D92" s="240"/>
      <c r="E92" s="240"/>
      <c r="F92" s="240">
        <f t="shared" si="4"/>
        <v>0</v>
      </c>
      <c r="G92" s="240"/>
      <c r="H92" s="240"/>
      <c r="I92" s="240">
        <f t="shared" si="5"/>
        <v>0</v>
      </c>
      <c r="J92" s="240"/>
      <c r="K92" s="240"/>
      <c r="L92" s="240">
        <f t="shared" si="6"/>
        <v>0</v>
      </c>
      <c r="M92" s="240"/>
    </row>
    <row r="93" spans="2:13">
      <c r="B93" s="14">
        <f>Table3[[#This Row],[GIAO PP]]+Table3[[#This Row],[GIAO KP]]+Table3[[#This Row],[GIAO KPK]]</f>
        <v>0</v>
      </c>
      <c r="D93" s="240"/>
      <c r="E93" s="240"/>
      <c r="F93" s="240">
        <f t="shared" si="4"/>
        <v>0</v>
      </c>
      <c r="G93" s="240"/>
      <c r="H93" s="240"/>
      <c r="I93" s="240">
        <f t="shared" si="5"/>
        <v>0</v>
      </c>
      <c r="J93" s="240"/>
      <c r="K93" s="240"/>
      <c r="L93" s="240">
        <f t="shared" si="6"/>
        <v>0</v>
      </c>
      <c r="M93" s="240"/>
    </row>
    <row r="94" spans="2:13">
      <c r="B94" s="14">
        <f>Table3[[#This Row],[GIAO PP]]+Table3[[#This Row],[GIAO KP]]+Table3[[#This Row],[GIAO KPK]]</f>
        <v>0</v>
      </c>
      <c r="D94" s="240"/>
      <c r="E94" s="240"/>
      <c r="F94" s="240">
        <f t="shared" si="4"/>
        <v>0</v>
      </c>
      <c r="G94" s="240"/>
      <c r="H94" s="240"/>
      <c r="I94" s="240">
        <f t="shared" si="5"/>
        <v>0</v>
      </c>
      <c r="J94" s="240"/>
      <c r="K94" s="240"/>
      <c r="L94" s="240">
        <f t="shared" si="6"/>
        <v>0</v>
      </c>
      <c r="M94" s="240"/>
    </row>
    <row r="95" spans="2:13">
      <c r="B95" s="14">
        <f>Table3[[#This Row],[GIAO PP]]+Table3[[#This Row],[GIAO KP]]+Table3[[#This Row],[GIAO KPK]]</f>
        <v>0</v>
      </c>
      <c r="D95" s="240"/>
      <c r="E95" s="240"/>
      <c r="F95" s="240">
        <f t="shared" si="4"/>
        <v>0</v>
      </c>
      <c r="G95" s="240"/>
      <c r="H95" s="240"/>
      <c r="I95" s="240">
        <f t="shared" si="5"/>
        <v>0</v>
      </c>
      <c r="J95" s="240"/>
      <c r="K95" s="240"/>
      <c r="L95" s="240">
        <f t="shared" si="6"/>
        <v>0</v>
      </c>
      <c r="M95" s="240"/>
    </row>
    <row r="96" spans="2:13">
      <c r="B96" s="14">
        <f>Table3[[#This Row],[GIAO PP]]+Table3[[#This Row],[GIAO KP]]+Table3[[#This Row],[GIAO KPK]]</f>
        <v>0</v>
      </c>
      <c r="D96" s="240"/>
      <c r="E96" s="240"/>
      <c r="F96" s="240">
        <f t="shared" si="4"/>
        <v>0</v>
      </c>
      <c r="G96" s="240"/>
      <c r="H96" s="240"/>
      <c r="I96" s="240">
        <f t="shared" si="5"/>
        <v>0</v>
      </c>
      <c r="J96" s="240"/>
      <c r="K96" s="240"/>
      <c r="L96" s="240">
        <f t="shared" si="6"/>
        <v>0</v>
      </c>
      <c r="M96" s="240"/>
    </row>
    <row r="97" spans="2:13">
      <c r="B97" s="14">
        <f>Table3[[#This Row],[GIAO PP]]+Table3[[#This Row],[GIAO KP]]+Table3[[#This Row],[GIAO KPK]]</f>
        <v>0</v>
      </c>
      <c r="D97" s="240"/>
      <c r="E97" s="240"/>
      <c r="F97" s="240">
        <f t="shared" si="4"/>
        <v>0</v>
      </c>
      <c r="G97" s="240"/>
      <c r="H97" s="240"/>
      <c r="I97" s="240">
        <f t="shared" si="5"/>
        <v>0</v>
      </c>
      <c r="J97" s="240"/>
      <c r="K97" s="240"/>
      <c r="L97" s="240">
        <f t="shared" si="6"/>
        <v>0</v>
      </c>
      <c r="M97" s="240"/>
    </row>
    <row r="98" spans="2:13">
      <c r="B98" s="14">
        <f>Table3[[#This Row],[GIAO PP]]+Table3[[#This Row],[GIAO KP]]+Table3[[#This Row],[GIAO KPK]]</f>
        <v>0</v>
      </c>
      <c r="D98" s="240"/>
      <c r="E98" s="240"/>
      <c r="F98" s="240">
        <f t="shared" si="4"/>
        <v>0</v>
      </c>
      <c r="G98" s="240"/>
      <c r="H98" s="240"/>
      <c r="I98" s="240">
        <f t="shared" si="5"/>
        <v>0</v>
      </c>
      <c r="J98" s="240"/>
      <c r="K98" s="240"/>
      <c r="L98" s="240">
        <f t="shared" si="6"/>
        <v>0</v>
      </c>
      <c r="M98" s="240"/>
    </row>
    <row r="99" spans="2:13">
      <c r="B99" s="14">
        <f>Table3[[#This Row],[GIAO PP]]+Table3[[#This Row],[GIAO KP]]+Table3[[#This Row],[GIAO KPK]]</f>
        <v>0</v>
      </c>
      <c r="D99" s="240"/>
      <c r="E99" s="240"/>
      <c r="F99" s="240">
        <f t="shared" si="4"/>
        <v>0</v>
      </c>
      <c r="G99" s="240"/>
      <c r="H99" s="240"/>
      <c r="I99" s="240">
        <f t="shared" si="5"/>
        <v>0</v>
      </c>
      <c r="J99" s="240"/>
      <c r="K99" s="240"/>
      <c r="L99" s="240">
        <f t="shared" si="6"/>
        <v>0</v>
      </c>
      <c r="M99" s="240"/>
    </row>
    <row r="100" spans="2:13">
      <c r="B100" s="14">
        <f>Table3[[#This Row],[GIAO PP]]+Table3[[#This Row],[GIAO KP]]+Table3[[#This Row],[GIAO KPK]]</f>
        <v>0</v>
      </c>
      <c r="D100" s="240"/>
      <c r="E100" s="240"/>
      <c r="F100" s="240">
        <f t="shared" si="4"/>
        <v>0</v>
      </c>
      <c r="G100" s="240"/>
      <c r="H100" s="240"/>
      <c r="I100" s="240">
        <f t="shared" si="5"/>
        <v>0</v>
      </c>
      <c r="J100" s="240"/>
      <c r="K100" s="240"/>
      <c r="L100" s="240">
        <f t="shared" si="6"/>
        <v>0</v>
      </c>
      <c r="M100" s="240"/>
    </row>
    <row r="101" spans="2:13">
      <c r="B101" s="14">
        <f>Table3[[#This Row],[GIAO PP]]+Table3[[#This Row],[GIAO KP]]+Table3[[#This Row],[GIAO KPK]]</f>
        <v>0</v>
      </c>
      <c r="D101" s="240"/>
      <c r="E101" s="240"/>
      <c r="F101" s="240">
        <f t="shared" si="4"/>
        <v>0</v>
      </c>
      <c r="G101" s="240"/>
      <c r="H101" s="240"/>
      <c r="I101" s="240"/>
      <c r="J101" s="240"/>
      <c r="K101" s="240"/>
      <c r="L101" s="240">
        <f t="shared" si="6"/>
        <v>0</v>
      </c>
      <c r="M101" s="240"/>
    </row>
    <row r="102" spans="2:13">
      <c r="B102" s="14">
        <f>Table3[[#This Row],[GIAO PP]]+Table3[[#This Row],[GIAO KP]]+Table3[[#This Row],[GIAO KPK]]</f>
        <v>0</v>
      </c>
      <c r="D102" s="240"/>
      <c r="E102" s="240"/>
      <c r="F102" s="240">
        <f t="shared" si="4"/>
        <v>0</v>
      </c>
      <c r="G102" s="240"/>
      <c r="H102" s="240"/>
      <c r="I102" s="240"/>
      <c r="J102" s="240"/>
      <c r="K102" s="240"/>
      <c r="L102" s="240">
        <f t="shared" si="6"/>
        <v>0</v>
      </c>
      <c r="M102" s="240"/>
    </row>
    <row r="103" spans="2:13">
      <c r="B103" s="14">
        <f>Table3[[#This Row],[GIAO PP]]+Table3[[#This Row],[GIAO KP]]+Table3[[#This Row],[GIAO KPK]]</f>
        <v>0</v>
      </c>
      <c r="D103" s="240"/>
      <c r="E103" s="240"/>
      <c r="F103" s="240">
        <f t="shared" si="4"/>
        <v>0</v>
      </c>
      <c r="G103" s="240"/>
      <c r="H103" s="240"/>
      <c r="I103" s="240"/>
      <c r="J103" s="240"/>
      <c r="K103" s="240"/>
      <c r="L103" s="240">
        <f t="shared" si="6"/>
        <v>0</v>
      </c>
      <c r="M103" s="240"/>
    </row>
    <row r="104" spans="2:13">
      <c r="B104" s="14">
        <f>Table3[[#This Row],[GIAO PP]]+Table3[[#This Row],[GIAO KP]]+Table3[[#This Row],[GIAO KPK]]</f>
        <v>0</v>
      </c>
      <c r="D104" s="240"/>
      <c r="E104" s="240"/>
      <c r="F104" s="240">
        <f t="shared" si="4"/>
        <v>0</v>
      </c>
      <c r="G104" s="240"/>
      <c r="H104" s="240"/>
      <c r="I104" s="240"/>
      <c r="J104" s="240"/>
      <c r="K104" s="240"/>
      <c r="L104" s="240"/>
      <c r="M104" s="240"/>
    </row>
    <row r="105" spans="2:13">
      <c r="B105" s="14">
        <f>Table3[[#This Row],[GIAO PP]]+Table3[[#This Row],[GIAO KP]]+Table3[[#This Row],[GIAO KPK]]</f>
        <v>0</v>
      </c>
      <c r="D105" s="240"/>
      <c r="E105" s="240"/>
      <c r="F105" s="240">
        <f t="shared" si="4"/>
        <v>0</v>
      </c>
      <c r="G105" s="240"/>
      <c r="H105" s="240"/>
      <c r="I105" s="240"/>
      <c r="J105" s="240"/>
      <c r="K105" s="240"/>
      <c r="L105" s="240"/>
      <c r="M105" s="240"/>
    </row>
    <row r="106" spans="2:13">
      <c r="B106" s="14">
        <f>Table3[[#This Row],[GIAO PP]]+Table3[[#This Row],[GIAO KP]]+Table3[[#This Row],[GIAO KPK]]</f>
        <v>0</v>
      </c>
      <c r="D106" s="240"/>
      <c r="E106" s="240"/>
      <c r="F106" s="240"/>
      <c r="G106" s="240"/>
      <c r="H106" s="240"/>
      <c r="I106" s="240"/>
      <c r="J106" s="240"/>
      <c r="K106" s="240"/>
      <c r="L106" s="240"/>
      <c r="M106" s="240"/>
    </row>
    <row r="107" spans="2:13">
      <c r="B107" s="14">
        <f>Table3[[#This Row],[GIAO PP]]+Table3[[#This Row],[GIAO KP]]+Table3[[#This Row],[GIAO KPK]]</f>
        <v>0</v>
      </c>
      <c r="D107" s="240"/>
      <c r="E107" s="240"/>
      <c r="F107" s="240"/>
      <c r="G107" s="240"/>
      <c r="H107" s="240"/>
      <c r="I107" s="240"/>
      <c r="J107" s="240"/>
      <c r="K107" s="240"/>
      <c r="L107" s="240"/>
      <c r="M107" s="240"/>
    </row>
    <row r="108" spans="2:13">
      <c r="B108" s="14">
        <f>Table3[[#This Row],[GIAO PP]]+Table3[[#This Row],[GIAO KP]]+Table3[[#This Row],[GIAO KPK]]</f>
        <v>0</v>
      </c>
      <c r="D108" s="240"/>
      <c r="E108" s="240"/>
      <c r="F108" s="240"/>
      <c r="G108" s="240"/>
      <c r="H108" s="240"/>
      <c r="I108" s="240"/>
      <c r="J108" s="240"/>
      <c r="K108" s="240"/>
      <c r="L108" s="240"/>
      <c r="M108" s="240"/>
    </row>
    <row r="109" spans="2:13">
      <c r="B109" s="14">
        <f>Table3[[#This Row],[GIAO PP]]+Table3[[#This Row],[GIAO KP]]+Table3[[#This Row],[GIAO KPK]]</f>
        <v>0</v>
      </c>
      <c r="D109" s="240"/>
      <c r="E109" s="240"/>
      <c r="F109" s="240"/>
      <c r="G109" s="240"/>
      <c r="H109" s="240"/>
      <c r="I109" s="240"/>
      <c r="J109" s="240"/>
      <c r="K109" s="240"/>
      <c r="L109" s="240"/>
      <c r="M109" s="240"/>
    </row>
    <row r="110" spans="2:13">
      <c r="B110" s="14">
        <f>Table3[[#This Row],[GIAO PP]]+Table3[[#This Row],[GIAO KP]]+Table3[[#This Row],[GIAO KPK]]</f>
        <v>0</v>
      </c>
      <c r="D110" s="240"/>
      <c r="E110" s="240"/>
      <c r="F110" s="240"/>
      <c r="G110" s="240"/>
      <c r="H110" s="240"/>
      <c r="I110" s="240"/>
      <c r="J110" s="240"/>
      <c r="K110" s="240"/>
      <c r="L110" s="240"/>
      <c r="M110" s="240"/>
    </row>
    <row r="111" spans="2:13">
      <c r="B111" s="14">
        <f>Table3[[#This Row],[GIAO PP]]+Table3[[#This Row],[GIAO KP]]+Table3[[#This Row],[GIAO KPK]]</f>
        <v>0</v>
      </c>
      <c r="D111" s="240"/>
      <c r="E111" s="240"/>
      <c r="F111" s="240"/>
      <c r="G111" s="240"/>
      <c r="H111" s="240"/>
      <c r="I111" s="240"/>
      <c r="J111" s="240"/>
      <c r="K111" s="240"/>
      <c r="L111" s="240"/>
      <c r="M111" s="240"/>
    </row>
    <row r="112" spans="2:13">
      <c r="D112" s="240"/>
      <c r="E112" s="240"/>
      <c r="F112" s="240"/>
      <c r="G112" s="240"/>
      <c r="H112" s="240"/>
      <c r="I112" s="240"/>
      <c r="J112" s="240"/>
      <c r="K112" s="240"/>
      <c r="L112" s="240"/>
      <c r="M112" s="240"/>
    </row>
  </sheetData>
  <mergeCells count="4">
    <mergeCell ref="D2:F2"/>
    <mergeCell ref="G2:I2"/>
    <mergeCell ref="J2:L2"/>
    <mergeCell ref="A1:M1"/>
  </mergeCells>
  <conditionalFormatting sqref="E1">
    <cfRule type="timePeriod" dxfId="206" priority="1" stopIfTrue="1" timePeriod="today">
      <formula>FLOOR(E1,1)=TODAY()</formula>
    </cfRule>
  </conditionalFormatting>
  <pageMargins left="0.7" right="0.7" top="0.75" bottom="0.75" header="0.3" footer="0.3"/>
  <pageSetup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84C6-5E9B-4635-9F0C-82A7A656F897}">
  <dimension ref="A1:W620"/>
  <sheetViews>
    <sheetView showGridLines="0" zoomScale="85" zoomScaleNormal="85" workbookViewId="0">
      <pane ySplit="3" topLeftCell="A164" activePane="bottomLeft" state="frozen"/>
      <selection pane="bottomLeft" activeCell="D195" sqref="D195"/>
    </sheetView>
  </sheetViews>
  <sheetFormatPr defaultRowHeight="14.4"/>
  <cols>
    <col min="1" max="1" width="14.6640625" style="59" customWidth="1"/>
    <col min="2" max="2" width="26.109375" style="22" customWidth="1"/>
    <col min="3" max="3" width="9.88671875" style="51" customWidth="1"/>
    <col min="4" max="4" width="25.88671875" style="30" customWidth="1"/>
    <col min="5" max="5" width="25.88671875" style="737" customWidth="1"/>
    <col min="6" max="6" width="17.33203125" customWidth="1"/>
    <col min="7" max="7" width="15.5546875" customWidth="1"/>
    <col min="8" max="8" width="21.5546875" style="9" customWidth="1"/>
    <col min="9" max="9" width="16.88671875" style="18" customWidth="1"/>
    <col min="10" max="10" width="17.109375" style="147" customWidth="1"/>
    <col min="11" max="11" width="16.88671875" customWidth="1"/>
    <col min="12" max="12" width="20.6640625" style="322" customWidth="1"/>
    <col min="14" max="14" width="14" customWidth="1"/>
    <col min="15" max="15" width="0.44140625" customWidth="1"/>
    <col min="16" max="16" width="9.6640625" customWidth="1"/>
    <col min="17" max="17" width="9.88671875" customWidth="1"/>
    <col min="18" max="18" width="12.5546875" customWidth="1"/>
    <col min="19" max="19" width="14.33203125" customWidth="1"/>
    <col min="20" max="20" width="15.33203125" customWidth="1"/>
    <col min="21" max="22" width="11.88671875" customWidth="1"/>
    <col min="25" max="25" width="10.33203125" customWidth="1"/>
    <col min="26" max="26" width="16" customWidth="1"/>
  </cols>
  <sheetData>
    <row r="1" spans="1:13" ht="31.5" customHeight="1">
      <c r="A1" s="845" t="s">
        <v>134</v>
      </c>
      <c r="B1" s="845"/>
      <c r="C1" s="845"/>
      <c r="D1" s="845"/>
      <c r="E1" s="845"/>
      <c r="F1" s="845"/>
      <c r="G1" s="845"/>
      <c r="H1" s="845"/>
      <c r="I1" s="845"/>
      <c r="J1" s="681"/>
      <c r="K1" s="681"/>
      <c r="L1" s="681"/>
    </row>
    <row r="2" spans="1:13" ht="23.25" customHeight="1">
      <c r="A2" s="845"/>
      <c r="B2" s="845"/>
      <c r="C2" s="845"/>
      <c r="D2" s="845"/>
      <c r="E2" s="845"/>
      <c r="F2" s="845"/>
      <c r="G2" s="845"/>
      <c r="H2" s="845"/>
      <c r="I2" s="845"/>
      <c r="J2" s="681"/>
      <c r="K2" s="681"/>
      <c r="L2" s="681"/>
    </row>
    <row r="3" spans="1:13" ht="63.75" customHeight="1">
      <c r="A3" s="57" t="s">
        <v>287</v>
      </c>
      <c r="B3" s="225" t="s">
        <v>0</v>
      </c>
      <c r="C3" s="226" t="s">
        <v>108</v>
      </c>
      <c r="D3" s="227" t="s">
        <v>1</v>
      </c>
      <c r="E3" s="228" t="s">
        <v>114</v>
      </c>
      <c r="F3" s="229" t="s">
        <v>3</v>
      </c>
      <c r="G3" s="757" t="s">
        <v>340</v>
      </c>
      <c r="H3" s="230" t="s">
        <v>4</v>
      </c>
      <c r="I3" s="231" t="s">
        <v>270</v>
      </c>
      <c r="J3" s="232" t="s">
        <v>5</v>
      </c>
      <c r="K3" s="233" t="s">
        <v>117</v>
      </c>
      <c r="L3" s="328" t="s">
        <v>107</v>
      </c>
      <c r="M3" t="s">
        <v>303</v>
      </c>
    </row>
    <row r="4" spans="1:13" ht="21" customHeight="1">
      <c r="A4" s="58" t="s">
        <v>106</v>
      </c>
      <c r="B4" s="61" t="s">
        <v>294</v>
      </c>
      <c r="C4" s="62" t="s">
        <v>301</v>
      </c>
      <c r="D4" s="115"/>
      <c r="E4" s="124"/>
      <c r="F4" s="63"/>
      <c r="G4" s="209"/>
      <c r="H4" s="63"/>
      <c r="I4" s="209"/>
      <c r="J4" s="63"/>
      <c r="K4" s="129"/>
      <c r="L4" s="63"/>
    </row>
    <row r="5" spans="1:13" ht="19.5" customHeight="1">
      <c r="A5" s="58" t="s">
        <v>115</v>
      </c>
      <c r="B5" s="1" t="s">
        <v>294</v>
      </c>
      <c r="C5" s="47"/>
      <c r="D5" s="341">
        <v>46259</v>
      </c>
      <c r="E5" s="731" t="s">
        <v>293</v>
      </c>
      <c r="F5" s="600">
        <v>15000</v>
      </c>
      <c r="G5" s="697">
        <f>Tracking_SI5[[#This Row],[Còn lại so với ĐH]]/Tracking_SI5[[#This Row],[Số  lượng trên ĐH]]</f>
        <v>7.6266666666666663E-2</v>
      </c>
      <c r="H5" s="600">
        <f>SUM(H6:H11)</f>
        <v>13856</v>
      </c>
      <c r="I5" s="343">
        <f>Tracking_SI5[[#This Row],[Số  lượng trên ĐH]]-Tracking_SI5[[#This Row],[Số  lượng giao]]</f>
        <v>1144</v>
      </c>
      <c r="J5" s="343"/>
      <c r="K5" s="356"/>
      <c r="L5" s="24"/>
    </row>
    <row r="6" spans="1:13" ht="19.5" hidden="1" customHeight="1">
      <c r="A6" s="57"/>
      <c r="B6" s="1" t="s">
        <v>294</v>
      </c>
      <c r="C6" s="46"/>
      <c r="D6" s="108">
        <v>46276</v>
      </c>
      <c r="E6" s="732" t="s">
        <v>293</v>
      </c>
      <c r="F6" s="164"/>
      <c r="G6" s="323"/>
      <c r="H6" s="164">
        <v>2188</v>
      </c>
      <c r="I6" s="354"/>
      <c r="J6" s="164"/>
      <c r="K6" s="131"/>
      <c r="L6" s="26"/>
    </row>
    <row r="7" spans="1:13" ht="19.5" hidden="1" customHeight="1">
      <c r="A7" s="57"/>
      <c r="B7" s="1" t="s">
        <v>294</v>
      </c>
      <c r="C7" s="46"/>
      <c r="D7" s="108">
        <v>46280</v>
      </c>
      <c r="E7" s="732" t="s">
        <v>293</v>
      </c>
      <c r="F7" s="164"/>
      <c r="G7" s="323"/>
      <c r="H7" s="727">
        <v>3125</v>
      </c>
      <c r="I7" s="606"/>
      <c r="J7" s="164"/>
      <c r="K7" s="131"/>
      <c r="L7" s="26"/>
    </row>
    <row r="8" spans="1:13" ht="19.5" hidden="1" customHeight="1">
      <c r="A8" s="57"/>
      <c r="B8" s="1" t="s">
        <v>294</v>
      </c>
      <c r="C8" s="46"/>
      <c r="D8" s="108">
        <v>46294</v>
      </c>
      <c r="E8" s="732" t="s">
        <v>293</v>
      </c>
      <c r="F8" s="164"/>
      <c r="G8" s="323"/>
      <c r="H8" s="727">
        <v>1899</v>
      </c>
      <c r="I8" s="606"/>
      <c r="J8" s="164"/>
      <c r="K8" s="131"/>
      <c r="L8" s="26"/>
    </row>
    <row r="9" spans="1:13" ht="19.5" hidden="1" customHeight="1">
      <c r="A9" s="57"/>
      <c r="B9" s="1" t="s">
        <v>294</v>
      </c>
      <c r="C9" s="46"/>
      <c r="D9" s="108">
        <v>46297</v>
      </c>
      <c r="E9" s="732" t="s">
        <v>293</v>
      </c>
      <c r="F9" s="164"/>
      <c r="G9" s="323"/>
      <c r="H9" s="727">
        <v>2528</v>
      </c>
      <c r="I9" s="606"/>
      <c r="J9" s="164"/>
      <c r="K9" s="131"/>
      <c r="L9" s="26"/>
    </row>
    <row r="10" spans="1:13" ht="19.5" hidden="1" customHeight="1">
      <c r="A10" s="57"/>
      <c r="B10" s="1" t="s">
        <v>294</v>
      </c>
      <c r="C10" s="46"/>
      <c r="D10" s="108">
        <v>46302</v>
      </c>
      <c r="E10" s="732" t="s">
        <v>293</v>
      </c>
      <c r="F10" s="164"/>
      <c r="G10" s="323"/>
      <c r="H10" s="727">
        <v>4116</v>
      </c>
      <c r="I10" s="606"/>
      <c r="J10" s="164"/>
      <c r="K10" s="131"/>
      <c r="L10" s="26"/>
    </row>
    <row r="11" spans="1:13" ht="19.5" hidden="1" customHeight="1">
      <c r="A11" s="57"/>
      <c r="B11" s="1" t="s">
        <v>294</v>
      </c>
      <c r="C11" s="46"/>
      <c r="D11" s="108"/>
      <c r="E11" s="732" t="s">
        <v>293</v>
      </c>
      <c r="F11" s="164"/>
      <c r="G11" s="323"/>
      <c r="H11" s="164"/>
      <c r="I11" s="354"/>
      <c r="J11" s="164"/>
      <c r="K11" s="131"/>
      <c r="L11" s="26"/>
    </row>
    <row r="12" spans="1:13" ht="19.5" customHeight="1">
      <c r="A12" s="57" t="s">
        <v>115</v>
      </c>
      <c r="B12" s="1" t="s">
        <v>294</v>
      </c>
      <c r="C12" s="46"/>
      <c r="D12" s="341">
        <v>46282</v>
      </c>
      <c r="E12" s="731" t="s">
        <v>346</v>
      </c>
      <c r="F12" s="600">
        <v>10000</v>
      </c>
      <c r="G12" s="697">
        <f>Tracking_SI5[[#This Row],[Còn lại so với ĐH]]/Tracking_SI5[[#This Row],[Số  lượng trên ĐH]]</f>
        <v>1</v>
      </c>
      <c r="H12" s="600">
        <f>SUM(H13:H18)</f>
        <v>0</v>
      </c>
      <c r="I12" s="343">
        <f>Tracking_SI5[[#This Row],[Số  lượng trên ĐH]]-Tracking_SI5[[#This Row],[Số  lượng giao]]</f>
        <v>10000</v>
      </c>
      <c r="J12" s="343"/>
      <c r="K12" s="356"/>
      <c r="L12" s="26"/>
    </row>
    <row r="13" spans="1:13" ht="19.5" hidden="1" customHeight="1">
      <c r="A13" s="57"/>
      <c r="B13" s="1" t="s">
        <v>294</v>
      </c>
      <c r="C13" s="46"/>
      <c r="D13" s="108"/>
      <c r="E13" s="732" t="s">
        <v>346</v>
      </c>
      <c r="F13" s="164"/>
      <c r="G13" s="323"/>
      <c r="H13" s="164"/>
      <c r="I13" s="354"/>
      <c r="J13" s="164"/>
      <c r="K13" s="131"/>
      <c r="L13" s="26"/>
    </row>
    <row r="14" spans="1:13" ht="19.5" hidden="1" customHeight="1">
      <c r="A14" s="57"/>
      <c r="B14" s="1" t="s">
        <v>294</v>
      </c>
      <c r="C14" s="46"/>
      <c r="D14" s="108"/>
      <c r="E14" s="732" t="s">
        <v>346</v>
      </c>
      <c r="F14" s="164"/>
      <c r="G14" s="323"/>
      <c r="H14" s="164"/>
      <c r="I14" s="354"/>
      <c r="J14" s="164"/>
      <c r="K14" s="131"/>
      <c r="L14" s="26"/>
    </row>
    <row r="15" spans="1:13" ht="21" customHeight="1">
      <c r="A15" s="58" t="s">
        <v>106</v>
      </c>
      <c r="B15" s="1"/>
      <c r="C15" s="62" t="s">
        <v>9</v>
      </c>
      <c r="D15" s="115"/>
      <c r="E15" s="125"/>
      <c r="F15" s="64"/>
      <c r="G15" s="323" t="e">
        <f>Tracking_SI5[[#This Row],[Còn lại so với ĐH]]/Tracking_SI5[[#This Row],[Số  lượng trên ĐH]]</f>
        <v>#DIV/0!</v>
      </c>
      <c r="H15" s="64"/>
      <c r="I15" s="210"/>
      <c r="J15" s="66"/>
      <c r="K15" s="132"/>
      <c r="L15" s="66"/>
    </row>
    <row r="16" spans="1:13" ht="21" hidden="1" customHeight="1">
      <c r="A16" s="57"/>
      <c r="B16" s="1"/>
      <c r="C16" s="46"/>
      <c r="D16" s="111"/>
      <c r="E16" s="25"/>
      <c r="F16" s="163"/>
      <c r="G16" s="326"/>
      <c r="H16" s="163"/>
      <c r="I16" s="607"/>
      <c r="J16" s="163"/>
      <c r="K16" s="130"/>
      <c r="L16" s="29"/>
    </row>
    <row r="17" spans="1:17" s="7" customFormat="1" ht="21" hidden="1" customHeight="1">
      <c r="A17" s="57"/>
      <c r="B17" s="1"/>
      <c r="C17" s="46"/>
      <c r="D17" s="116"/>
      <c r="E17" s="30"/>
      <c r="F17" s="166"/>
      <c r="G17" s="323" t="e">
        <f>Tracking_SI5[[#This Row],[Còn lại so với ĐH]]/Tracking_SI5[[#This Row],[Số  lượng trên ĐH]]</f>
        <v>#DIV/0!</v>
      </c>
      <c r="H17" s="166"/>
      <c r="I17" s="608"/>
      <c r="J17" s="344"/>
      <c r="K17" s="133"/>
      <c r="L17" s="32"/>
    </row>
    <row r="18" spans="1:17" s="7" customFormat="1" ht="21" hidden="1" customHeight="1">
      <c r="A18" s="57"/>
      <c r="B18" s="1"/>
      <c r="C18" s="46"/>
      <c r="D18" s="113"/>
      <c r="E18" s="28"/>
      <c r="F18" s="165"/>
      <c r="G18" s="323" t="e">
        <f>Tracking_SI5[[#This Row],[Còn lại so với ĐH]]/Tracking_SI5[[#This Row],[Số  lượng trên ĐH]]</f>
        <v>#DIV/0!</v>
      </c>
      <c r="H18" s="165"/>
      <c r="I18" s="608"/>
      <c r="J18" s="165"/>
      <c r="K18" s="127"/>
      <c r="L18" s="29"/>
    </row>
    <row r="19" spans="1:17" ht="21" customHeight="1">
      <c r="A19" s="58" t="s">
        <v>106</v>
      </c>
      <c r="B19" s="1"/>
      <c r="C19" s="62" t="s">
        <v>11</v>
      </c>
      <c r="D19" s="115"/>
      <c r="E19" s="125"/>
      <c r="F19" s="64"/>
      <c r="G19" s="323" t="e">
        <f>Tracking_SI5[[#This Row],[Còn lại so với ĐH]]/Tracking_SI5[[#This Row],[Số  lượng trên ĐH]]</f>
        <v>#DIV/0!</v>
      </c>
      <c r="H19" s="64"/>
      <c r="I19" s="210"/>
      <c r="J19" s="66"/>
      <c r="K19" s="132"/>
      <c r="L19" s="66"/>
    </row>
    <row r="20" spans="1:17" ht="21" hidden="1" customHeight="1">
      <c r="A20" s="57"/>
      <c r="B20" s="1"/>
      <c r="C20" s="46"/>
      <c r="D20" s="111"/>
      <c r="E20" s="25"/>
      <c r="F20" s="163"/>
      <c r="G20" s="326"/>
      <c r="H20" s="163"/>
      <c r="I20" s="607"/>
      <c r="J20" s="163"/>
      <c r="K20" s="130"/>
      <c r="L20" s="32"/>
    </row>
    <row r="21" spans="1:17" ht="21" hidden="1" customHeight="1">
      <c r="A21" s="57"/>
      <c r="B21" s="1"/>
      <c r="C21" s="46"/>
      <c r="D21" s="116"/>
      <c r="E21" s="27"/>
      <c r="F21" s="166"/>
      <c r="G21" s="326"/>
      <c r="H21" s="166"/>
      <c r="I21" s="608"/>
      <c r="J21" s="344"/>
      <c r="K21" s="133"/>
      <c r="L21" s="32"/>
    </row>
    <row r="22" spans="1:17" ht="21" hidden="1" customHeight="1">
      <c r="A22" s="57"/>
      <c r="B22" s="1"/>
      <c r="C22" s="46"/>
      <c r="D22" s="116"/>
      <c r="E22" s="27"/>
      <c r="F22" s="166"/>
      <c r="G22" s="326"/>
      <c r="H22" s="166"/>
      <c r="I22" s="608"/>
      <c r="J22" s="344"/>
      <c r="K22" s="133"/>
      <c r="L22" s="32"/>
    </row>
    <row r="23" spans="1:17" ht="21" hidden="1" customHeight="1">
      <c r="A23" s="57"/>
      <c r="B23" s="1"/>
      <c r="C23" s="46"/>
      <c r="D23" s="116"/>
      <c r="E23" s="27"/>
      <c r="F23" s="166"/>
      <c r="G23" s="326"/>
      <c r="H23" s="166"/>
      <c r="I23" s="609"/>
      <c r="J23" s="344"/>
      <c r="K23" s="133"/>
      <c r="L23" s="32"/>
    </row>
    <row r="24" spans="1:17" ht="21" customHeight="1">
      <c r="A24" s="58" t="s">
        <v>106</v>
      </c>
      <c r="B24" s="760" t="s">
        <v>296</v>
      </c>
      <c r="C24" s="62" t="s">
        <v>297</v>
      </c>
      <c r="D24" s="115"/>
      <c r="E24" s="733"/>
      <c r="F24" s="68"/>
      <c r="G24" s="730"/>
      <c r="H24" s="68"/>
      <c r="I24" s="730"/>
      <c r="J24" s="66"/>
      <c r="K24" s="132"/>
      <c r="L24" s="66"/>
    </row>
    <row r="25" spans="1:17" ht="21" customHeight="1">
      <c r="A25" s="57" t="s">
        <v>115</v>
      </c>
      <c r="B25" s="1" t="s">
        <v>296</v>
      </c>
      <c r="C25" s="152"/>
      <c r="D25" s="341">
        <v>46270</v>
      </c>
      <c r="E25" s="731" t="s">
        <v>298</v>
      </c>
      <c r="F25" s="600">
        <v>18000</v>
      </c>
      <c r="G25" s="697">
        <f>Tracking_SI5[[#This Row],[Còn lại so với ĐH]]/Tracking_SI5[[#This Row],[Số  lượng trên ĐH]]</f>
        <v>0.26288888888888889</v>
      </c>
      <c r="H25" s="600">
        <f>SUM(H26:H29)</f>
        <v>13268</v>
      </c>
      <c r="I25" s="343">
        <f>Tracking_SI5[[#This Row],[Số  lượng trên ĐH]]-Tracking_SI5[[#This Row],[Số  lượng giao]]</f>
        <v>4732</v>
      </c>
      <c r="J25" s="343"/>
      <c r="K25" s="356"/>
      <c r="L25" s="32"/>
    </row>
    <row r="26" spans="1:17" ht="21" hidden="1" customHeight="1">
      <c r="A26" s="57"/>
      <c r="B26" s="1" t="s">
        <v>296</v>
      </c>
      <c r="C26" s="152"/>
      <c r="D26" s="116">
        <v>46280</v>
      </c>
      <c r="E26" s="734" t="s">
        <v>298</v>
      </c>
      <c r="F26" s="31"/>
      <c r="G26" s="326"/>
      <c r="H26" s="728">
        <v>4972</v>
      </c>
      <c r="I26" s="185"/>
      <c r="J26" s="32"/>
      <c r="K26" s="133"/>
      <c r="L26" s="32"/>
    </row>
    <row r="27" spans="1:17" ht="21" hidden="1" customHeight="1">
      <c r="A27" s="758"/>
      <c r="B27" s="1" t="s">
        <v>296</v>
      </c>
      <c r="C27" s="152"/>
      <c r="D27" s="116">
        <v>46283</v>
      </c>
      <c r="E27" s="735" t="s">
        <v>298</v>
      </c>
      <c r="F27" s="31"/>
      <c r="G27" s="326"/>
      <c r="H27" s="164">
        <v>2983</v>
      </c>
      <c r="I27" s="185"/>
      <c r="J27" s="32"/>
      <c r="K27" s="133"/>
      <c r="L27" s="32"/>
    </row>
    <row r="28" spans="1:17" ht="21" hidden="1" customHeight="1">
      <c r="A28" s="57" t="s">
        <v>118</v>
      </c>
      <c r="B28" s="1" t="s">
        <v>296</v>
      </c>
      <c r="C28" s="152"/>
      <c r="D28" s="116">
        <v>46287</v>
      </c>
      <c r="E28" s="735" t="s">
        <v>298</v>
      </c>
      <c r="F28" s="31"/>
      <c r="G28" s="326"/>
      <c r="H28" s="31">
        <v>5313</v>
      </c>
      <c r="I28" s="185"/>
      <c r="J28" s="32"/>
      <c r="K28" s="133"/>
      <c r="L28" s="32"/>
    </row>
    <row r="29" spans="1:17" ht="21" hidden="1" customHeight="1">
      <c r="A29" s="57"/>
      <c r="B29" s="1" t="s">
        <v>296</v>
      </c>
      <c r="C29" s="152"/>
      <c r="D29" s="116"/>
      <c r="E29" s="735" t="s">
        <v>298</v>
      </c>
      <c r="F29" s="31"/>
      <c r="G29" s="326"/>
      <c r="H29" s="31"/>
      <c r="I29" s="185"/>
      <c r="J29" s="32"/>
      <c r="K29" s="133"/>
      <c r="L29" s="32"/>
    </row>
    <row r="30" spans="1:17" ht="21" customHeight="1">
      <c r="A30" s="58" t="s">
        <v>106</v>
      </c>
      <c r="B30" s="1" t="s">
        <v>122</v>
      </c>
      <c r="C30" s="62" t="s">
        <v>126</v>
      </c>
      <c r="D30" s="115"/>
      <c r="E30" s="65"/>
      <c r="F30" s="68"/>
      <c r="G30" s="323" t="e">
        <f>Tracking_SI5[[#This Row],[Còn lại so với ĐH]]/Tracking_SI5[[#This Row],[Số  lượng trên ĐH]]</f>
        <v>#DIV/0!</v>
      </c>
      <c r="H30" s="68"/>
      <c r="I30" s="211"/>
      <c r="J30" s="66"/>
      <c r="K30" s="132"/>
      <c r="L30" s="66"/>
    </row>
    <row r="31" spans="1:17" ht="21" customHeight="1">
      <c r="A31" s="57"/>
      <c r="B31" s="1" t="s">
        <v>122</v>
      </c>
      <c r="C31" s="46"/>
      <c r="D31" s="341">
        <v>46086</v>
      </c>
      <c r="E31" s="342" t="s">
        <v>212</v>
      </c>
      <c r="F31" s="600">
        <v>16000</v>
      </c>
      <c r="G31" s="323">
        <f>Tracking_SI5[[#This Row],[Còn lại so với ĐH]]/Tracking_SI5[[#This Row],[Số  lượng trên ĐH]]</f>
        <v>3.4062500000000002E-2</v>
      </c>
      <c r="H31" s="600">
        <f>SUM(H32:H40)</f>
        <v>15455</v>
      </c>
      <c r="I31" s="343">
        <f>Tracking_SI5[[#This Row],[Số  lượng trên ĐH]]-Tracking_SI5[[#This Row],[Số  lượng giao]]</f>
        <v>545</v>
      </c>
      <c r="J31" s="343"/>
      <c r="K31" s="356"/>
      <c r="L31" s="32"/>
    </row>
    <row r="32" spans="1:17" ht="21" hidden="1" customHeight="1">
      <c r="A32" s="57"/>
      <c r="B32" s="1" t="s">
        <v>122</v>
      </c>
      <c r="C32" s="46"/>
      <c r="D32" s="108" t="s">
        <v>262</v>
      </c>
      <c r="E32" s="27" t="s">
        <v>212</v>
      </c>
      <c r="F32" s="166"/>
      <c r="G32" s="31" t="e">
        <f>Tracking_SI5[[#This Row],[Còn lại so với ĐH]]/Tracking_SI5[[#This Row],[Số  lượng trên ĐH]]</f>
        <v>#DIV/0!</v>
      </c>
      <c r="H32" s="637">
        <v>2063</v>
      </c>
      <c r="I32" s="344"/>
      <c r="J32" s="610"/>
      <c r="K32" s="108"/>
      <c r="L32" s="27"/>
      <c r="N32" s="166"/>
      <c r="O32" s="186"/>
      <c r="P32" s="32"/>
      <c r="Q32" s="133"/>
    </row>
    <row r="33" spans="1:17" ht="21" hidden="1" customHeight="1">
      <c r="A33" s="57"/>
      <c r="B33" s="1" t="s">
        <v>122</v>
      </c>
      <c r="C33" s="152"/>
      <c r="D33" s="108">
        <v>46141</v>
      </c>
      <c r="E33" s="27" t="s">
        <v>212</v>
      </c>
      <c r="F33" s="166"/>
      <c r="G33" s="31" t="e">
        <f>Tracking_SI5[[#This Row],[Còn lại so với ĐH]]/Tracking_SI5[[#This Row],[Số  lượng trên ĐH]]</f>
        <v>#DIV/0!</v>
      </c>
      <c r="H33" s="637">
        <v>3239</v>
      </c>
      <c r="I33" s="344"/>
      <c r="J33" s="610"/>
      <c r="K33" s="108"/>
      <c r="L33" s="27"/>
      <c r="N33" s="166"/>
      <c r="O33" s="186"/>
      <c r="P33" s="32"/>
      <c r="Q33" s="133"/>
    </row>
    <row r="34" spans="1:17" ht="21" hidden="1" customHeight="1">
      <c r="A34" s="57"/>
      <c r="B34" s="1" t="s">
        <v>122</v>
      </c>
      <c r="C34" s="152"/>
      <c r="D34" s="108">
        <v>46148</v>
      </c>
      <c r="E34" s="27" t="s">
        <v>212</v>
      </c>
      <c r="F34" s="166"/>
      <c r="G34" s="31" t="e">
        <f>Tracking_SI5[[#This Row],[Còn lại so với ĐH]]/Tracking_SI5[[#This Row],[Số  lượng trên ĐH]]</f>
        <v>#DIV/0!</v>
      </c>
      <c r="H34" s="637">
        <v>1069</v>
      </c>
      <c r="I34" s="344"/>
      <c r="J34" s="610"/>
      <c r="K34" s="108"/>
      <c r="L34" s="27"/>
      <c r="N34" s="166"/>
      <c r="O34" s="186"/>
      <c r="P34" s="32"/>
      <c r="Q34" s="133"/>
    </row>
    <row r="35" spans="1:17" ht="21" hidden="1" customHeight="1">
      <c r="A35" s="57"/>
      <c r="B35" s="1" t="s">
        <v>122</v>
      </c>
      <c r="C35" s="152"/>
      <c r="D35" s="108">
        <v>46151</v>
      </c>
      <c r="E35" s="27" t="s">
        <v>212</v>
      </c>
      <c r="F35" s="166"/>
      <c r="G35" s="31" t="e">
        <f>Tracking_SI5[[#This Row],[Còn lại so với ĐH]]/Tracking_SI5[[#This Row],[Số  lượng trên ĐH]]</f>
        <v>#DIV/0!</v>
      </c>
      <c r="H35" s="637">
        <v>905</v>
      </c>
      <c r="I35" s="344"/>
      <c r="J35" s="610"/>
      <c r="K35" s="108"/>
      <c r="L35" s="27"/>
      <c r="N35" s="166"/>
      <c r="O35" s="186"/>
      <c r="P35" s="32"/>
      <c r="Q35" s="133"/>
    </row>
    <row r="36" spans="1:17" ht="21" hidden="1" customHeight="1">
      <c r="A36" s="57"/>
      <c r="B36" s="1" t="s">
        <v>122</v>
      </c>
      <c r="C36" s="152"/>
      <c r="D36" s="108">
        <v>46153</v>
      </c>
      <c r="E36" s="27" t="s">
        <v>212</v>
      </c>
      <c r="F36" s="166"/>
      <c r="G36" s="31" t="e">
        <f>Tracking_SI5[[#This Row],[Còn lại so với ĐH]]/Tracking_SI5[[#This Row],[Số  lượng trên ĐH]]</f>
        <v>#DIV/0!</v>
      </c>
      <c r="H36" s="637">
        <v>913</v>
      </c>
      <c r="I36" s="344"/>
      <c r="J36" s="610"/>
      <c r="K36" s="108"/>
      <c r="L36" s="27"/>
      <c r="N36" s="166"/>
      <c r="O36" s="186"/>
      <c r="P36" s="32"/>
      <c r="Q36" s="133"/>
    </row>
    <row r="37" spans="1:17" ht="21" hidden="1" customHeight="1">
      <c r="A37" s="57"/>
      <c r="B37" s="1" t="s">
        <v>122</v>
      </c>
      <c r="C37" s="152"/>
      <c r="D37" s="108">
        <v>46157</v>
      </c>
      <c r="E37" s="27" t="s">
        <v>212</v>
      </c>
      <c r="F37" s="166"/>
      <c r="G37" s="31" t="e">
        <f>Tracking_SI5[[#This Row],[Còn lại so với ĐH]]/Tracking_SI5[[#This Row],[Số  lượng trên ĐH]]</f>
        <v>#DIV/0!</v>
      </c>
      <c r="H37" s="637">
        <v>1375</v>
      </c>
      <c r="I37" s="344"/>
      <c r="J37" s="610"/>
      <c r="K37" s="108"/>
      <c r="L37" s="27"/>
      <c r="N37" s="166"/>
      <c r="O37" s="186"/>
      <c r="P37" s="32"/>
      <c r="Q37" s="133"/>
    </row>
    <row r="38" spans="1:17" ht="21" hidden="1" customHeight="1">
      <c r="A38" s="57"/>
      <c r="B38" s="1" t="s">
        <v>122</v>
      </c>
      <c r="C38" s="152"/>
      <c r="D38" s="108">
        <v>46161</v>
      </c>
      <c r="E38" s="27" t="s">
        <v>212</v>
      </c>
      <c r="F38" s="166"/>
      <c r="G38" s="31" t="e">
        <f>Tracking_SI5[[#This Row],[Còn lại so với ĐH]]/Tracking_SI5[[#This Row],[Số  lượng trên ĐH]]</f>
        <v>#DIV/0!</v>
      </c>
      <c r="H38" s="554">
        <v>919</v>
      </c>
      <c r="I38" s="344"/>
      <c r="J38" s="610"/>
      <c r="K38" s="108"/>
      <c r="L38" s="27"/>
      <c r="N38" s="166"/>
      <c r="O38" s="186"/>
      <c r="P38" s="32"/>
      <c r="Q38" s="133"/>
    </row>
    <row r="39" spans="1:17" s="640" customFormat="1" ht="21" hidden="1" customHeight="1">
      <c r="A39" s="58"/>
      <c r="B39" s="1" t="s">
        <v>122</v>
      </c>
      <c r="C39" s="312"/>
      <c r="D39" s="108">
        <v>46168</v>
      </c>
      <c r="E39" s="27" t="s">
        <v>212</v>
      </c>
      <c r="F39" s="309"/>
      <c r="G39" s="435" t="e">
        <f>Tracking_SI5[[#This Row],[Còn lại so với ĐH]]/Tracking_SI5[[#This Row],[Số  lượng trên ĐH]]</f>
        <v>#DIV/0!</v>
      </c>
      <c r="H39" s="166">
        <v>2124</v>
      </c>
      <c r="I39" s="349"/>
      <c r="J39" s="639"/>
      <c r="K39" s="350"/>
      <c r="L39" s="56"/>
      <c r="N39" s="638"/>
      <c r="O39" s="186"/>
      <c r="P39" s="45"/>
      <c r="Q39" s="346"/>
    </row>
    <row r="40" spans="1:17" ht="21" hidden="1" customHeight="1">
      <c r="A40" s="57" t="s">
        <v>118</v>
      </c>
      <c r="B40" s="1" t="s">
        <v>122</v>
      </c>
      <c r="C40" s="152"/>
      <c r="D40" s="108">
        <v>46258</v>
      </c>
      <c r="E40" s="27" t="s">
        <v>212</v>
      </c>
      <c r="F40" s="166"/>
      <c r="G40" s="31" t="e">
        <f>Tracking_SI5[[#This Row],[Còn lại so với ĐH]]/Tracking_SI5[[#This Row],[Số  lượng trên ĐH]]</f>
        <v>#DIV/0!</v>
      </c>
      <c r="H40" s="637">
        <v>2848</v>
      </c>
      <c r="I40" s="344"/>
      <c r="J40" s="610"/>
      <c r="K40" s="108"/>
      <c r="L40" s="27"/>
      <c r="N40" s="166"/>
      <c r="O40" s="186"/>
      <c r="P40" s="32"/>
      <c r="Q40" s="133"/>
    </row>
    <row r="41" spans="1:17" ht="21" hidden="1" customHeight="1">
      <c r="A41" s="57"/>
      <c r="B41" s="1" t="s">
        <v>122</v>
      </c>
      <c r="C41" s="152"/>
      <c r="D41" s="108"/>
      <c r="E41" s="27" t="s">
        <v>212</v>
      </c>
      <c r="F41" s="166"/>
      <c r="G41" s="31" t="e">
        <f>Tracking_SI5[[#This Row],[Còn lại so với ĐH]]/Tracking_SI5[[#This Row],[Số  lượng trên ĐH]]</f>
        <v>#DIV/0!</v>
      </c>
      <c r="H41" s="637"/>
      <c r="I41" s="344"/>
      <c r="J41" s="610"/>
      <c r="K41" s="108"/>
      <c r="L41" s="27"/>
      <c r="N41" s="166"/>
      <c r="O41" s="186"/>
      <c r="P41" s="32"/>
      <c r="Q41" s="133"/>
    </row>
    <row r="42" spans="1:17" ht="21" customHeight="1">
      <c r="A42" s="57" t="s">
        <v>115</v>
      </c>
      <c r="B42" s="1" t="s">
        <v>122</v>
      </c>
      <c r="C42" s="152"/>
      <c r="D42" s="341">
        <v>46140</v>
      </c>
      <c r="E42" s="342" t="s">
        <v>263</v>
      </c>
      <c r="F42" s="600">
        <v>15000</v>
      </c>
      <c r="G42" s="31">
        <f>Tracking_SI5[[#This Row],[Còn lại so với ĐH]]/Tracking_SI5[[#This Row],[Số  lượng trên ĐH]]</f>
        <v>1</v>
      </c>
      <c r="H42" s="600">
        <f>SUM(H43:H46)</f>
        <v>0</v>
      </c>
      <c r="I42" s="343">
        <f>Tracking_SI5[[#This Row],[Số  lượng trên ĐH]]-Tracking_SI5[[#This Row],[Số  lượng giao]]</f>
        <v>15000</v>
      </c>
      <c r="J42" s="343">
        <v>48200</v>
      </c>
      <c r="K42" s="356"/>
      <c r="L42" s="27"/>
      <c r="N42" s="166"/>
      <c r="O42" s="186"/>
      <c r="P42" s="32"/>
      <c r="Q42" s="133"/>
    </row>
    <row r="43" spans="1:17" ht="21" hidden="1" customHeight="1">
      <c r="A43" s="57"/>
      <c r="B43" s="1" t="s">
        <v>122</v>
      </c>
      <c r="C43" s="152"/>
      <c r="D43" s="108"/>
      <c r="E43" s="27" t="s">
        <v>263</v>
      </c>
      <c r="F43" s="166"/>
      <c r="G43" s="326" t="e">
        <f>Tracking_SI5[[#This Row],[Còn lại so với ĐH]]/Tracking_SI5[[#This Row],[Số  lượng trên ĐH]]</f>
        <v>#DIV/0!</v>
      </c>
      <c r="H43" s="166"/>
      <c r="I43" s="354"/>
      <c r="J43" s="344"/>
      <c r="K43" s="133"/>
      <c r="L43" s="32"/>
    </row>
    <row r="44" spans="1:17" ht="21" hidden="1" customHeight="1">
      <c r="A44" s="57"/>
      <c r="B44" s="1" t="s">
        <v>122</v>
      </c>
      <c r="C44" s="152"/>
      <c r="D44" s="108"/>
      <c r="E44" s="27" t="s">
        <v>263</v>
      </c>
      <c r="F44" s="166"/>
      <c r="G44" s="326" t="e">
        <f>Tracking_SI5[[#This Row],[Còn lại so với ĐH]]/Tracking_SI5[[#This Row],[Số  lượng trên ĐH]]</f>
        <v>#DIV/0!</v>
      </c>
      <c r="H44" s="166"/>
      <c r="I44" s="354"/>
      <c r="J44" s="344"/>
      <c r="K44" s="133"/>
      <c r="L44" s="32"/>
    </row>
    <row r="45" spans="1:17" ht="21" hidden="1" customHeight="1">
      <c r="A45" s="57"/>
      <c r="B45" s="1" t="s">
        <v>122</v>
      </c>
      <c r="C45" s="152"/>
      <c r="D45" s="108"/>
      <c r="E45" s="27" t="s">
        <v>263</v>
      </c>
      <c r="F45" s="166"/>
      <c r="G45" s="326" t="e">
        <f>Tracking_SI5[[#This Row],[Còn lại so với ĐH]]/Tracking_SI5[[#This Row],[Số  lượng trên ĐH]]</f>
        <v>#DIV/0!</v>
      </c>
      <c r="H45" s="166"/>
      <c r="I45" s="354"/>
      <c r="J45" s="344"/>
      <c r="K45" s="133"/>
      <c r="L45" s="32"/>
    </row>
    <row r="46" spans="1:17" ht="21" hidden="1" customHeight="1">
      <c r="A46" s="57"/>
      <c r="B46" s="1" t="s">
        <v>122</v>
      </c>
      <c r="C46" s="46"/>
      <c r="D46" s="108"/>
      <c r="E46" s="27" t="s">
        <v>263</v>
      </c>
      <c r="F46" s="166"/>
      <c r="G46" s="323" t="e">
        <f>Tracking_SI5[[#This Row],[Còn lại so với ĐH]]/Tracking_SI5[[#This Row],[Số  lượng trên ĐH]]</f>
        <v>#DIV/0!</v>
      </c>
      <c r="H46" s="164"/>
      <c r="I46" s="354"/>
      <c r="J46" s="344"/>
      <c r="K46" s="133"/>
      <c r="L46" s="32"/>
    </row>
    <row r="47" spans="1:17" ht="21" customHeight="1">
      <c r="A47" s="58" t="s">
        <v>106</v>
      </c>
      <c r="B47" s="1" t="s">
        <v>200</v>
      </c>
      <c r="C47" s="62" t="s">
        <v>199</v>
      </c>
      <c r="D47" s="125"/>
      <c r="E47" s="125"/>
      <c r="F47" s="64"/>
      <c r="G47" s="323" t="e">
        <f>Tracking_SI5[[#This Row],[Còn lại so với ĐH]]/Tracking_SI5[[#This Row],[Số  lượng trên ĐH]]</f>
        <v>#DIV/0!</v>
      </c>
      <c r="H47" s="219"/>
      <c r="I47" s="210"/>
      <c r="J47" s="66"/>
      <c r="K47" s="132"/>
      <c r="L47" s="66"/>
    </row>
    <row r="48" spans="1:17" ht="21" hidden="1" customHeight="1">
      <c r="A48" s="58"/>
      <c r="B48" s="1" t="s">
        <v>200</v>
      </c>
      <c r="C48" s="152"/>
      <c r="D48" s="341"/>
      <c r="E48" s="342"/>
      <c r="F48" s="600"/>
      <c r="G48" s="326"/>
      <c r="H48" s="343"/>
      <c r="I48" s="343"/>
      <c r="J48" s="601"/>
      <c r="K48" s="356"/>
      <c r="L48" s="24"/>
    </row>
    <row r="49" spans="1:12" ht="21" hidden="1" customHeight="1">
      <c r="A49" s="57"/>
      <c r="B49" s="1" t="s">
        <v>200</v>
      </c>
      <c r="C49" s="46"/>
      <c r="D49" s="108"/>
      <c r="E49" s="27"/>
      <c r="F49" s="164"/>
      <c r="G49" s="326"/>
      <c r="H49" s="164"/>
      <c r="I49" s="608"/>
      <c r="J49" s="164"/>
      <c r="K49" s="131"/>
      <c r="L49" s="26"/>
    </row>
    <row r="50" spans="1:12" ht="21" hidden="1" customHeight="1">
      <c r="A50" s="57"/>
      <c r="B50" s="1" t="s">
        <v>200</v>
      </c>
      <c r="C50" s="46"/>
      <c r="D50" s="108"/>
      <c r="E50" s="27"/>
      <c r="F50" s="164"/>
      <c r="G50" s="326"/>
      <c r="H50" s="164"/>
      <c r="I50" s="608"/>
      <c r="J50" s="164"/>
      <c r="K50" s="131"/>
      <c r="L50" s="26"/>
    </row>
    <row r="51" spans="1:12" ht="21" hidden="1" customHeight="1">
      <c r="A51" s="57"/>
      <c r="B51" s="1" t="s">
        <v>200</v>
      </c>
      <c r="C51" s="46"/>
      <c r="D51" s="108"/>
      <c r="E51" s="381"/>
      <c r="F51" s="164"/>
      <c r="G51" s="326"/>
      <c r="H51" s="382"/>
      <c r="I51" s="608"/>
      <c r="J51" s="164"/>
      <c r="K51" s="131"/>
      <c r="L51" s="26"/>
    </row>
    <row r="52" spans="1:12" ht="21" hidden="1" customHeight="1">
      <c r="A52" s="58"/>
      <c r="B52" s="1" t="s">
        <v>200</v>
      </c>
      <c r="C52" s="46"/>
      <c r="D52" s="111"/>
      <c r="E52" s="25"/>
      <c r="F52" s="163"/>
      <c r="G52" s="326"/>
      <c r="H52" s="164"/>
      <c r="I52" s="607"/>
      <c r="J52" s="163"/>
      <c r="K52" s="127"/>
      <c r="L52" s="24"/>
    </row>
    <row r="53" spans="1:12" ht="21" hidden="1" customHeight="1">
      <c r="A53" s="57"/>
      <c r="B53" s="1" t="s">
        <v>200</v>
      </c>
      <c r="C53" s="46"/>
      <c r="D53" s="108"/>
      <c r="E53" s="381"/>
      <c r="F53" s="164"/>
      <c r="G53" s="326"/>
      <c r="H53" s="382"/>
      <c r="I53" s="608"/>
      <c r="J53" s="164"/>
      <c r="K53" s="131"/>
      <c r="L53" s="26"/>
    </row>
    <row r="54" spans="1:12" ht="21" hidden="1" customHeight="1">
      <c r="A54" s="57"/>
      <c r="B54" s="1" t="s">
        <v>200</v>
      </c>
      <c r="C54" s="46"/>
      <c r="D54" s="359"/>
      <c r="E54" s="348"/>
      <c r="F54" s="349"/>
      <c r="G54" s="326"/>
      <c r="H54" s="344"/>
      <c r="I54" s="611"/>
      <c r="J54" s="164"/>
      <c r="K54" s="133"/>
      <c r="L54" s="26"/>
    </row>
    <row r="55" spans="1:12" ht="21" hidden="1" customHeight="1">
      <c r="A55" s="57"/>
      <c r="B55" s="1" t="s">
        <v>200</v>
      </c>
      <c r="C55" s="152"/>
      <c r="D55" s="108"/>
      <c r="E55" s="27"/>
      <c r="F55" s="164"/>
      <c r="G55" s="326"/>
      <c r="H55" s="164"/>
      <c r="I55" s="609"/>
      <c r="J55" s="344"/>
      <c r="K55" s="133"/>
      <c r="L55" s="26"/>
    </row>
    <row r="56" spans="1:12" ht="21" hidden="1" customHeight="1">
      <c r="A56" s="57"/>
      <c r="B56" s="1" t="s">
        <v>200</v>
      </c>
      <c r="C56" s="152"/>
      <c r="D56" s="108"/>
      <c r="E56" s="27"/>
      <c r="F56" s="164"/>
      <c r="G56" s="326"/>
      <c r="H56" s="164"/>
      <c r="I56" s="609"/>
      <c r="J56" s="344"/>
      <c r="K56" s="133"/>
      <c r="L56" s="26"/>
    </row>
    <row r="57" spans="1:12" ht="21" hidden="1" customHeight="1">
      <c r="A57" s="57"/>
      <c r="B57" s="1" t="s">
        <v>200</v>
      </c>
      <c r="C57" s="152"/>
      <c r="D57" s="108"/>
      <c r="E57" s="27"/>
      <c r="F57" s="164"/>
      <c r="G57" s="326"/>
      <c r="H57" s="164"/>
      <c r="I57" s="609"/>
      <c r="J57" s="344"/>
      <c r="K57" s="133"/>
      <c r="L57" s="26"/>
    </row>
    <row r="58" spans="1:12" ht="21" hidden="1" customHeight="1">
      <c r="A58" s="57"/>
      <c r="B58" s="1" t="s">
        <v>200</v>
      </c>
      <c r="C58" s="152"/>
      <c r="D58" s="108"/>
      <c r="E58" s="27"/>
      <c r="F58" s="164"/>
      <c r="G58" s="326"/>
      <c r="H58" s="164"/>
      <c r="I58" s="609"/>
      <c r="J58" s="344"/>
      <c r="K58" s="133"/>
      <c r="L58" s="26"/>
    </row>
    <row r="59" spans="1:12" ht="21" hidden="1" customHeight="1">
      <c r="A59" s="57"/>
      <c r="B59" s="1" t="s">
        <v>200</v>
      </c>
      <c r="C59" s="152"/>
      <c r="D59" s="108"/>
      <c r="E59" s="27"/>
      <c r="F59" s="164"/>
      <c r="G59" s="326"/>
      <c r="H59" s="164"/>
      <c r="I59" s="609"/>
      <c r="J59" s="344"/>
      <c r="K59" s="133"/>
      <c r="L59" s="26"/>
    </row>
    <row r="60" spans="1:12" ht="21" hidden="1" customHeight="1">
      <c r="A60" s="57"/>
      <c r="B60" s="1" t="s">
        <v>200</v>
      </c>
      <c r="C60" s="152"/>
      <c r="D60" s="108"/>
      <c r="E60" s="27"/>
      <c r="F60" s="164"/>
      <c r="G60" s="326"/>
      <c r="H60" s="164"/>
      <c r="I60" s="609"/>
      <c r="J60" s="344"/>
      <c r="K60" s="133"/>
      <c r="L60" s="26"/>
    </row>
    <row r="61" spans="1:12" ht="21" hidden="1" customHeight="1">
      <c r="A61" s="57"/>
      <c r="B61" s="1" t="s">
        <v>200</v>
      </c>
      <c r="C61" s="152"/>
      <c r="D61" s="108"/>
      <c r="E61" s="27"/>
      <c r="F61" s="164"/>
      <c r="G61" s="326"/>
      <c r="H61" s="164"/>
      <c r="I61" s="609"/>
      <c r="J61" s="344"/>
      <c r="K61" s="133"/>
      <c r="L61" s="26"/>
    </row>
    <row r="62" spans="1:12" ht="21" customHeight="1">
      <c r="A62" s="58" t="s">
        <v>106</v>
      </c>
      <c r="B62" s="1"/>
      <c r="C62" s="62" t="s">
        <v>23</v>
      </c>
      <c r="D62" s="125"/>
      <c r="E62" s="125"/>
      <c r="F62" s="64"/>
      <c r="G62" s="323" t="e">
        <f>Tracking_SI5[[#This Row],[Còn lại so với ĐH]]/Tracking_SI5[[#This Row],[Số  lượng trên ĐH]]</f>
        <v>#DIV/0!</v>
      </c>
      <c r="H62" s="219"/>
      <c r="I62" s="211"/>
      <c r="J62" s="66"/>
      <c r="K62" s="132"/>
      <c r="L62" s="66"/>
    </row>
    <row r="63" spans="1:12" ht="21" hidden="1" customHeight="1">
      <c r="A63" s="58"/>
      <c r="B63" s="1"/>
      <c r="C63" s="46"/>
      <c r="D63" s="111"/>
      <c r="E63" s="25"/>
      <c r="F63" s="163"/>
      <c r="G63" s="326"/>
      <c r="H63" s="164"/>
      <c r="I63" s="605"/>
      <c r="J63" s="163"/>
      <c r="K63" s="127"/>
      <c r="L63" s="24"/>
    </row>
    <row r="64" spans="1:12" ht="21" hidden="1" customHeight="1">
      <c r="A64" s="57"/>
      <c r="B64" s="1"/>
      <c r="C64" s="46"/>
      <c r="D64" s="108"/>
      <c r="E64" s="27"/>
      <c r="F64" s="164"/>
      <c r="G64" s="323" t="e">
        <f>Tracking_SI5[[#This Row],[Còn lại so với ĐH]]/Tracking_SI5[[#This Row],[Số  lượng trên ĐH]]</f>
        <v>#DIV/0!</v>
      </c>
      <c r="H64" s="164"/>
      <c r="I64" s="606"/>
      <c r="J64" s="344"/>
      <c r="K64" s="133"/>
      <c r="L64" s="32"/>
    </row>
    <row r="65" spans="1:12" ht="21" hidden="1" customHeight="1">
      <c r="A65" s="57"/>
      <c r="B65" s="1"/>
      <c r="C65" s="46"/>
      <c r="D65" s="108"/>
      <c r="E65" s="27"/>
      <c r="F65" s="164"/>
      <c r="G65" s="323" t="e">
        <f>Tracking_SI5[[#This Row],[Còn lại so với ĐH]]/Tracking_SI5[[#This Row],[Số  lượng trên ĐH]]</f>
        <v>#DIV/0!</v>
      </c>
      <c r="H65" s="164"/>
      <c r="I65" s="354"/>
      <c r="J65" s="344"/>
      <c r="K65" s="133"/>
      <c r="L65" s="32"/>
    </row>
    <row r="66" spans="1:12" ht="21" hidden="1" customHeight="1">
      <c r="A66" s="57"/>
      <c r="B66" s="1"/>
      <c r="C66" s="46"/>
      <c r="D66" s="108"/>
      <c r="E66" s="27"/>
      <c r="F66" s="164"/>
      <c r="G66" s="323" t="e">
        <f>Tracking_SI5[[#This Row],[Còn lại so với ĐH]]/Tracking_SI5[[#This Row],[Số  lượng trên ĐH]]</f>
        <v>#DIV/0!</v>
      </c>
      <c r="H66" s="164"/>
      <c r="I66" s="354"/>
      <c r="J66" s="344"/>
      <c r="K66" s="133"/>
      <c r="L66" s="32"/>
    </row>
    <row r="67" spans="1:12" ht="21" hidden="1" customHeight="1">
      <c r="A67" s="57"/>
      <c r="B67" s="1"/>
      <c r="C67" s="46"/>
      <c r="D67" s="108"/>
      <c r="E67" s="27"/>
      <c r="F67" s="164"/>
      <c r="G67" s="323" t="e">
        <f>Tracking_SI5[[#This Row],[Còn lại so với ĐH]]/Tracking_SI5[[#This Row],[Số  lượng trên ĐH]]</f>
        <v>#DIV/0!</v>
      </c>
      <c r="H67" s="164"/>
      <c r="I67" s="606"/>
      <c r="J67" s="344"/>
      <c r="K67" s="133"/>
      <c r="L67" s="32"/>
    </row>
    <row r="68" spans="1:12" ht="21" hidden="1" customHeight="1">
      <c r="A68" s="57"/>
      <c r="B68" s="1"/>
      <c r="C68" s="46"/>
      <c r="D68" s="108"/>
      <c r="E68" s="27"/>
      <c r="F68" s="164"/>
      <c r="G68" s="323" t="e">
        <f>Tracking_SI5[[#This Row],[Còn lại so với ĐH]]/Tracking_SI5[[#This Row],[Số  lượng trên ĐH]]</f>
        <v>#DIV/0!</v>
      </c>
      <c r="H68" s="164"/>
      <c r="I68" s="608"/>
      <c r="J68" s="344"/>
      <c r="K68" s="133"/>
      <c r="L68" s="32"/>
    </row>
    <row r="69" spans="1:12" ht="21" customHeight="1">
      <c r="A69" s="58" t="s">
        <v>106</v>
      </c>
      <c r="B69" s="1"/>
      <c r="C69" s="62" t="s">
        <v>25</v>
      </c>
      <c r="D69" s="125"/>
      <c r="E69" s="69"/>
      <c r="F69" s="68"/>
      <c r="G69" s="323" t="e">
        <f>Tracking_SI5[[#This Row],[Còn lại so với ĐH]]/Tracking_SI5[[#This Row],[Số  lượng trên ĐH]]</f>
        <v>#DIV/0!</v>
      </c>
      <c r="H69" s="219"/>
      <c r="I69" s="210"/>
      <c r="J69" s="66"/>
      <c r="K69" s="132"/>
      <c r="L69" s="66"/>
    </row>
    <row r="70" spans="1:12" ht="21" hidden="1" customHeight="1">
      <c r="A70" s="57"/>
      <c r="B70" s="1"/>
      <c r="C70" s="46"/>
      <c r="D70" s="108"/>
      <c r="E70" s="27"/>
      <c r="F70" s="167"/>
      <c r="G70" s="323" t="e">
        <f>Tracking_SI5[[#This Row],[Còn lại so với ĐH]]/Tracking_SI5[[#This Row],[Số  lượng trên ĐH]]</f>
        <v>#DIV/0!</v>
      </c>
      <c r="H70" s="164"/>
      <c r="I70" s="608"/>
      <c r="J70" s="167"/>
      <c r="K70" s="134"/>
      <c r="L70" s="35"/>
    </row>
    <row r="71" spans="1:12" ht="21" hidden="1" customHeight="1">
      <c r="A71" s="57"/>
      <c r="B71" s="1"/>
      <c r="C71" s="46"/>
      <c r="D71" s="108"/>
      <c r="E71" s="27"/>
      <c r="F71" s="167"/>
      <c r="G71" s="323" t="e">
        <f>Tracking_SI5[[#This Row],[Còn lại so với ĐH]]/Tracking_SI5[[#This Row],[Số  lượng trên ĐH]]</f>
        <v>#DIV/0!</v>
      </c>
      <c r="H71" s="164"/>
      <c r="I71" s="608"/>
      <c r="J71" s="167"/>
      <c r="K71" s="134"/>
      <c r="L71" s="35"/>
    </row>
    <row r="72" spans="1:12" ht="21" customHeight="1">
      <c r="A72" s="58" t="s">
        <v>106</v>
      </c>
      <c r="B72" s="1"/>
      <c r="C72" s="62" t="s">
        <v>26</v>
      </c>
      <c r="D72" s="125"/>
      <c r="E72" s="126"/>
      <c r="F72" s="71"/>
      <c r="G72" s="323" t="e">
        <f>Tracking_SI5[[#This Row],[Còn lại so với ĐH]]/Tracking_SI5[[#This Row],[Số  lượng trên ĐH]]</f>
        <v>#DIV/0!</v>
      </c>
      <c r="H72" s="219"/>
      <c r="I72" s="210"/>
      <c r="J72" s="71"/>
      <c r="K72" s="135"/>
      <c r="L72" s="66"/>
    </row>
    <row r="73" spans="1:12" ht="21" hidden="1" customHeight="1">
      <c r="A73" s="57"/>
      <c r="B73" s="1"/>
      <c r="C73" s="46"/>
      <c r="D73" s="111"/>
      <c r="E73" s="25"/>
      <c r="F73" s="163"/>
      <c r="G73" s="323" t="e">
        <f>Tracking_SI5[[#This Row],[Còn lại so với ĐH]]/Tracking_SI5[[#This Row],[Số  lượng trên ĐH]]</f>
        <v>#DIV/0!</v>
      </c>
      <c r="H73" s="164"/>
      <c r="I73" s="607">
        <f>F73-H73</f>
        <v>0</v>
      </c>
      <c r="J73" s="163"/>
      <c r="K73" s="130"/>
      <c r="L73" s="24"/>
    </row>
    <row r="74" spans="1:12" ht="21" hidden="1" customHeight="1">
      <c r="A74" s="57"/>
      <c r="B74" s="1"/>
      <c r="C74" s="46"/>
      <c r="D74" s="108"/>
      <c r="E74" s="27"/>
      <c r="F74" s="167"/>
      <c r="G74" s="323" t="e">
        <f>Tracking_SI5[[#This Row],[Còn lại so với ĐH]]/Tracking_SI5[[#This Row],[Số  lượng trên ĐH]]</f>
        <v>#DIV/0!</v>
      </c>
      <c r="H74" s="164"/>
      <c r="I74" s="608"/>
      <c r="J74" s="167"/>
      <c r="K74" s="134"/>
      <c r="L74" s="35"/>
    </row>
    <row r="75" spans="1:12" ht="21" customHeight="1">
      <c r="A75" s="58" t="s">
        <v>106</v>
      </c>
      <c r="B75" s="1" t="s">
        <v>27</v>
      </c>
      <c r="C75" s="62" t="s">
        <v>109</v>
      </c>
      <c r="D75" s="125"/>
      <c r="E75" s="126"/>
      <c r="F75" s="71"/>
      <c r="G75" s="323" t="e">
        <f>Tracking_SI5[[#This Row],[Còn lại so với ĐH]]/Tracking_SI5[[#This Row],[Số  lượng trên ĐH]]</f>
        <v>#DIV/0!</v>
      </c>
      <c r="H75" s="552"/>
      <c r="I75" s="209"/>
      <c r="J75" s="71"/>
      <c r="K75" s="135"/>
      <c r="L75" s="66"/>
    </row>
    <row r="76" spans="1:12" ht="21" customHeight="1">
      <c r="A76" s="57"/>
      <c r="B76" s="1" t="s">
        <v>27</v>
      </c>
      <c r="C76" s="109"/>
      <c r="D76" s="341">
        <v>46083</v>
      </c>
      <c r="E76" s="342" t="s">
        <v>211</v>
      </c>
      <c r="F76" s="343">
        <v>6000</v>
      </c>
      <c r="G76" s="323">
        <f>Tracking_SI5[[#This Row],[Còn lại so với ĐH]]/Tracking_SI5[[#This Row],[Số  lượng trên ĐH]]</f>
        <v>0</v>
      </c>
      <c r="H76" s="343">
        <f>SUM(H77:H85)</f>
        <v>6000</v>
      </c>
      <c r="I76" s="343">
        <f>Tracking_SI5[[#This Row],[Số  lượng trên ĐH]]-Tracking_SI5[[#This Row],[Số  lượng giao]]</f>
        <v>0</v>
      </c>
      <c r="J76" s="343"/>
      <c r="K76" s="356" t="s">
        <v>116</v>
      </c>
      <c r="L76" s="35"/>
    </row>
    <row r="77" spans="1:12" ht="21" hidden="1" customHeight="1">
      <c r="A77" s="57"/>
      <c r="B77" s="1" t="s">
        <v>27</v>
      </c>
      <c r="C77" s="109"/>
      <c r="D77" s="108">
        <v>46129</v>
      </c>
      <c r="E77" s="27" t="s">
        <v>211</v>
      </c>
      <c r="F77" s="167"/>
      <c r="G77" s="323" t="e">
        <f>Tracking_SI5[[#This Row],[Còn lại so với ĐH]]/Tracking_SI5[[#This Row],[Số  lượng trên ĐH]]</f>
        <v>#DIV/0!</v>
      </c>
      <c r="H77" s="164">
        <v>1105</v>
      </c>
      <c r="I77" s="354"/>
      <c r="J77" s="167"/>
      <c r="K77" s="134" t="s">
        <v>118</v>
      </c>
      <c r="L77" s="35"/>
    </row>
    <row r="78" spans="1:12" ht="21" hidden="1" customHeight="1">
      <c r="A78" s="57"/>
      <c r="B78" s="1" t="s">
        <v>27</v>
      </c>
      <c r="C78" s="109"/>
      <c r="D78" s="108">
        <v>46153</v>
      </c>
      <c r="E78" s="27" t="s">
        <v>211</v>
      </c>
      <c r="F78" s="167"/>
      <c r="G78" s="323" t="e">
        <f>Tracking_SI5[[#This Row],[Còn lại so với ĐH]]/Tracking_SI5[[#This Row],[Số  lượng trên ĐH]]</f>
        <v>#DIV/0!</v>
      </c>
      <c r="H78" s="164">
        <v>4895</v>
      </c>
      <c r="I78" s="354"/>
      <c r="J78" s="167"/>
      <c r="K78" s="134" t="s">
        <v>118</v>
      </c>
      <c r="L78" s="35"/>
    </row>
    <row r="79" spans="1:12" ht="21" hidden="1" customHeight="1">
      <c r="A79" s="57"/>
      <c r="B79" s="1" t="s">
        <v>27</v>
      </c>
      <c r="C79" s="109"/>
      <c r="D79" s="108"/>
      <c r="E79" s="27" t="s">
        <v>211</v>
      </c>
      <c r="F79" s="167"/>
      <c r="G79" s="323" t="e">
        <f>Tracking_SI5[[#This Row],[Còn lại so với ĐH]]/Tracking_SI5[[#This Row],[Số  lượng trên ĐH]]</f>
        <v>#DIV/0!</v>
      </c>
      <c r="H79" s="164"/>
      <c r="I79" s="354"/>
      <c r="J79" s="167"/>
      <c r="K79" s="134"/>
      <c r="L79" s="35"/>
    </row>
    <row r="80" spans="1:12" ht="21" hidden="1" customHeight="1">
      <c r="A80" s="57"/>
      <c r="B80" s="1" t="s">
        <v>27</v>
      </c>
      <c r="C80" s="109"/>
      <c r="D80" s="108"/>
      <c r="E80" s="27" t="s">
        <v>211</v>
      </c>
      <c r="F80" s="167"/>
      <c r="G80" s="323" t="e">
        <f>Tracking_SI5[[#This Row],[Còn lại so với ĐH]]/Tracking_SI5[[#This Row],[Số  lượng trên ĐH]]</f>
        <v>#DIV/0!</v>
      </c>
      <c r="H80" s="164"/>
      <c r="I80" s="354"/>
      <c r="J80" s="167"/>
      <c r="K80" s="134"/>
      <c r="L80" s="35"/>
    </row>
    <row r="81" spans="1:12" ht="21" hidden="1" customHeight="1">
      <c r="A81" s="57"/>
      <c r="B81" s="1" t="s">
        <v>27</v>
      </c>
      <c r="C81" s="109"/>
      <c r="D81" s="108"/>
      <c r="E81" s="27" t="s">
        <v>211</v>
      </c>
      <c r="F81" s="167"/>
      <c r="G81" s="323" t="e">
        <f>Tracking_SI5[[#This Row],[Còn lại so với ĐH]]/Tracking_SI5[[#This Row],[Số  lượng trên ĐH]]</f>
        <v>#DIV/0!</v>
      </c>
      <c r="H81" s="164"/>
      <c r="I81" s="354"/>
      <c r="J81" s="167"/>
      <c r="K81" s="134"/>
      <c r="L81" s="35"/>
    </row>
    <row r="82" spans="1:12" ht="21" hidden="1" customHeight="1">
      <c r="A82" s="57"/>
      <c r="B82" s="1" t="s">
        <v>27</v>
      </c>
      <c r="C82" s="109"/>
      <c r="D82" s="108"/>
      <c r="E82" s="27" t="s">
        <v>211</v>
      </c>
      <c r="F82" s="167"/>
      <c r="G82" s="323" t="e">
        <f>Tracking_SI5[[#This Row],[Còn lại so với ĐH]]/Tracking_SI5[[#This Row],[Số  lượng trên ĐH]]</f>
        <v>#DIV/0!</v>
      </c>
      <c r="H82" s="164"/>
      <c r="I82" s="354"/>
      <c r="J82" s="167"/>
      <c r="K82" s="134"/>
      <c r="L82" s="35"/>
    </row>
    <row r="83" spans="1:12" ht="21" hidden="1" customHeight="1">
      <c r="A83" s="57"/>
      <c r="B83" s="1" t="s">
        <v>27</v>
      </c>
      <c r="C83" s="109"/>
      <c r="D83" s="108"/>
      <c r="E83" s="27" t="s">
        <v>211</v>
      </c>
      <c r="F83" s="167"/>
      <c r="G83" s="323" t="e">
        <f>Tracking_SI5[[#This Row],[Còn lại so với ĐH]]/Tracking_SI5[[#This Row],[Số  lượng trên ĐH]]</f>
        <v>#DIV/0!</v>
      </c>
      <c r="H83" s="164"/>
      <c r="I83" s="354"/>
      <c r="J83" s="167"/>
      <c r="K83" s="134"/>
      <c r="L83" s="35"/>
    </row>
    <row r="84" spans="1:12" ht="21" hidden="1" customHeight="1">
      <c r="A84" s="57"/>
      <c r="B84" s="1" t="s">
        <v>27</v>
      </c>
      <c r="C84" s="109"/>
      <c r="D84" s="108"/>
      <c r="E84" s="27" t="s">
        <v>211</v>
      </c>
      <c r="F84" s="167"/>
      <c r="G84" s="323" t="e">
        <f>Tracking_SI5[[#This Row],[Còn lại so với ĐH]]/Tracking_SI5[[#This Row],[Số  lượng trên ĐH]]</f>
        <v>#DIV/0!</v>
      </c>
      <c r="H84" s="164"/>
      <c r="I84" s="354"/>
      <c r="J84" s="167"/>
      <c r="K84" s="134"/>
      <c r="L84" s="35"/>
    </row>
    <row r="85" spans="1:12" ht="21" hidden="1" customHeight="1">
      <c r="A85" s="57"/>
      <c r="B85" s="1" t="s">
        <v>27</v>
      </c>
      <c r="C85" s="109"/>
      <c r="D85" s="108"/>
      <c r="E85" s="27" t="s">
        <v>211</v>
      </c>
      <c r="F85" s="167"/>
      <c r="G85" s="323" t="e">
        <f>Tracking_SI5[[#This Row],[Còn lại so với ĐH]]/Tracking_SI5[[#This Row],[Số  lượng trên ĐH]]</f>
        <v>#DIV/0!</v>
      </c>
      <c r="H85" s="164"/>
      <c r="I85" s="606"/>
      <c r="J85" s="167"/>
      <c r="K85" s="134"/>
      <c r="L85" s="35"/>
    </row>
    <row r="86" spans="1:12" ht="21" customHeight="1">
      <c r="A86" s="58" t="s">
        <v>106</v>
      </c>
      <c r="B86" s="1" t="s">
        <v>269</v>
      </c>
      <c r="C86" s="62" t="s">
        <v>268</v>
      </c>
      <c r="D86" s="125"/>
      <c r="E86" s="126"/>
      <c r="F86" s="71"/>
      <c r="G86" s="323" t="e">
        <f>Tracking_SI5[[#This Row],[Còn lại so với ĐH]]/Tracking_SI5[[#This Row],[Số  lượng trên ĐH]]</f>
        <v>#DIV/0!</v>
      </c>
      <c r="H86" s="219"/>
      <c r="I86" s="210"/>
      <c r="J86" s="71"/>
      <c r="K86" s="135"/>
      <c r="L86" s="66"/>
    </row>
    <row r="87" spans="1:12" ht="21" customHeight="1">
      <c r="A87" s="58" t="s">
        <v>115</v>
      </c>
      <c r="B87" s="1" t="s">
        <v>269</v>
      </c>
      <c r="C87" s="46"/>
      <c r="D87" s="341">
        <v>46144</v>
      </c>
      <c r="E87" s="342" t="s">
        <v>267</v>
      </c>
      <c r="F87" s="343">
        <v>15000</v>
      </c>
      <c r="G87" s="326"/>
      <c r="H87" s="378">
        <f>SUM(H88:H96)</f>
        <v>8015</v>
      </c>
      <c r="I87" s="600">
        <f>Tracking_SI5[[#This Row],[Số  lượng trên ĐH]]-Tracking_SI5[[#This Row],[Số  lượng giao]]</f>
        <v>6985</v>
      </c>
      <c r="J87" s="343">
        <v>46500</v>
      </c>
      <c r="K87" s="356"/>
      <c r="L87" s="24"/>
    </row>
    <row r="88" spans="1:12" ht="21" hidden="1" customHeight="1">
      <c r="A88" s="57"/>
      <c r="B88" s="1" t="s">
        <v>269</v>
      </c>
      <c r="C88" s="46"/>
      <c r="D88" s="108">
        <v>46200</v>
      </c>
      <c r="E88" s="27" t="s">
        <v>267</v>
      </c>
      <c r="F88" s="167"/>
      <c r="G88" s="323" t="e">
        <f>Tracking_SI5[[#This Row],[Còn lại so với ĐH]]/Tracking_SI5[[#This Row],[Số  lượng trên ĐH]]</f>
        <v>#DIV/0!</v>
      </c>
      <c r="H88" s="164">
        <v>649</v>
      </c>
      <c r="I88" s="608"/>
      <c r="J88" s="167"/>
      <c r="K88" s="134"/>
      <c r="L88" s="35"/>
    </row>
    <row r="89" spans="1:12" ht="21" hidden="1" customHeight="1">
      <c r="A89" s="57"/>
      <c r="B89" s="1" t="s">
        <v>269</v>
      </c>
      <c r="C89" s="46"/>
      <c r="D89" s="108">
        <v>46207</v>
      </c>
      <c r="E89" s="27" t="s">
        <v>267</v>
      </c>
      <c r="F89" s="167"/>
      <c r="G89" s="323" t="e">
        <f>Tracking_SI5[[#This Row],[Còn lại so với ĐH]]/Tracking_SI5[[#This Row],[Số  lượng trên ĐH]]</f>
        <v>#DIV/0!</v>
      </c>
      <c r="H89" s="164">
        <v>990</v>
      </c>
      <c r="I89" s="608"/>
      <c r="J89" s="167"/>
      <c r="K89" s="134"/>
      <c r="L89" s="35"/>
    </row>
    <row r="90" spans="1:12" ht="21" hidden="1" customHeight="1">
      <c r="A90" s="57"/>
      <c r="B90" s="1" t="s">
        <v>269</v>
      </c>
      <c r="C90" s="46"/>
      <c r="D90" s="108">
        <v>46218</v>
      </c>
      <c r="E90" s="27" t="s">
        <v>267</v>
      </c>
      <c r="F90" s="167"/>
      <c r="G90" s="323" t="e">
        <f>Tracking_SI5[[#This Row],[Còn lại so với ĐH]]/Tracking_SI5[[#This Row],[Số  lượng trên ĐH]]</f>
        <v>#DIV/0!</v>
      </c>
      <c r="H90" s="164">
        <v>1467</v>
      </c>
      <c r="I90" s="608"/>
      <c r="J90" s="167"/>
      <c r="K90" s="134"/>
      <c r="L90" s="35"/>
    </row>
    <row r="91" spans="1:12" ht="21" hidden="1" customHeight="1">
      <c r="A91" s="57"/>
      <c r="B91" s="1" t="s">
        <v>269</v>
      </c>
      <c r="C91" s="46"/>
      <c r="D91" s="108">
        <v>46221</v>
      </c>
      <c r="E91" s="27" t="s">
        <v>267</v>
      </c>
      <c r="F91" s="167"/>
      <c r="G91" s="323" t="e">
        <f>Tracking_SI5[[#This Row],[Còn lại so với ĐH]]/Tracking_SI5[[#This Row],[Số  lượng trên ĐH]]</f>
        <v>#DIV/0!</v>
      </c>
      <c r="H91" s="164">
        <v>1142</v>
      </c>
      <c r="I91" s="608"/>
      <c r="J91" s="167"/>
      <c r="K91" s="134"/>
      <c r="L91" s="35"/>
    </row>
    <row r="92" spans="1:12" ht="21" hidden="1" customHeight="1">
      <c r="A92" s="57"/>
      <c r="B92" s="1" t="s">
        <v>269</v>
      </c>
      <c r="C92" s="46"/>
      <c r="D92" s="108">
        <v>46225</v>
      </c>
      <c r="E92" s="27" t="s">
        <v>267</v>
      </c>
      <c r="F92" s="167"/>
      <c r="G92" s="323" t="e">
        <f>Tracking_SI5[[#This Row],[Còn lại so với ĐH]]/Tracking_SI5[[#This Row],[Số  lượng trên ĐH]]</f>
        <v>#DIV/0!</v>
      </c>
      <c r="H92" s="164">
        <v>379</v>
      </c>
      <c r="I92" s="608"/>
      <c r="J92" s="167"/>
      <c r="K92" s="134"/>
      <c r="L92" s="35"/>
    </row>
    <row r="93" spans="1:12" ht="21" hidden="1" customHeight="1">
      <c r="A93" s="57"/>
      <c r="B93" s="1" t="s">
        <v>269</v>
      </c>
      <c r="C93" s="46"/>
      <c r="D93" s="108">
        <v>46230</v>
      </c>
      <c r="E93" s="27" t="s">
        <v>267</v>
      </c>
      <c r="F93" s="167"/>
      <c r="G93" s="323" t="e">
        <f>Tracking_SI5[[#This Row],[Còn lại so với ĐH]]/Tracking_SI5[[#This Row],[Số  lượng trên ĐH]]</f>
        <v>#DIV/0!</v>
      </c>
      <c r="H93" s="164">
        <v>1142</v>
      </c>
      <c r="I93" s="608"/>
      <c r="J93" s="167"/>
      <c r="K93" s="134"/>
      <c r="L93" s="35"/>
    </row>
    <row r="94" spans="1:12" ht="21" hidden="1" customHeight="1">
      <c r="A94" s="57"/>
      <c r="B94" s="1" t="s">
        <v>269</v>
      </c>
      <c r="C94" s="46"/>
      <c r="D94" s="108">
        <v>46246</v>
      </c>
      <c r="E94" s="27" t="s">
        <v>267</v>
      </c>
      <c r="F94" s="167"/>
      <c r="G94" s="323" t="e">
        <f>Tracking_SI5[[#This Row],[Còn lại so với ĐH]]/Tracking_SI5[[#This Row],[Số  lượng trên ĐH]]</f>
        <v>#DIV/0!</v>
      </c>
      <c r="H94" s="164">
        <v>2246</v>
      </c>
      <c r="I94" s="608"/>
      <c r="J94" s="167"/>
      <c r="K94" s="134"/>
      <c r="L94" s="35"/>
    </row>
    <row r="95" spans="1:12" ht="21" hidden="1" customHeight="1">
      <c r="A95" s="57"/>
      <c r="B95" s="1" t="s">
        <v>269</v>
      </c>
      <c r="C95" s="46"/>
      <c r="D95" s="108"/>
      <c r="E95" s="27" t="s">
        <v>267</v>
      </c>
      <c r="F95" s="167"/>
      <c r="G95" s="323" t="e">
        <f>Tracking_SI5[[#This Row],[Còn lại so với ĐH]]/Tracking_SI5[[#This Row],[Số  lượng trên ĐH]]</f>
        <v>#DIV/0!</v>
      </c>
      <c r="H95" s="164"/>
      <c r="I95" s="608"/>
      <c r="J95" s="167"/>
      <c r="K95" s="134"/>
      <c r="L95" s="35"/>
    </row>
    <row r="96" spans="1:12" ht="21" hidden="1" customHeight="1">
      <c r="A96" s="57"/>
      <c r="B96" s="1" t="s">
        <v>269</v>
      </c>
      <c r="C96" s="46"/>
      <c r="D96" s="108"/>
      <c r="E96" s="27" t="s">
        <v>267</v>
      </c>
      <c r="F96" s="167"/>
      <c r="G96" s="323" t="e">
        <f>Tracking_SI5[[#This Row],[Còn lại so với ĐH]]/Tracking_SI5[[#This Row],[Số  lượng trên ĐH]]</f>
        <v>#DIV/0!</v>
      </c>
      <c r="H96" s="164"/>
      <c r="I96" s="608"/>
      <c r="J96" s="167"/>
      <c r="K96" s="134"/>
      <c r="L96" s="35"/>
    </row>
    <row r="97" spans="1:12" ht="21" customHeight="1">
      <c r="A97" s="58" t="s">
        <v>106</v>
      </c>
      <c r="B97" s="1"/>
      <c r="C97" s="62" t="s">
        <v>125</v>
      </c>
      <c r="D97" s="125"/>
      <c r="E97" s="126"/>
      <c r="F97" s="71"/>
      <c r="G97" s="323" t="e">
        <f>Tracking_SI5[[#This Row],[Còn lại so với ĐH]]/Tracking_SI5[[#This Row],[Số  lượng trên ĐH]]</f>
        <v>#DIV/0!</v>
      </c>
      <c r="H97" s="219"/>
      <c r="I97" s="210"/>
      <c r="J97" s="71"/>
      <c r="K97" s="135"/>
      <c r="L97" s="66"/>
    </row>
    <row r="98" spans="1:12" ht="21" hidden="1" customHeight="1">
      <c r="A98" s="58"/>
      <c r="B98" s="1"/>
      <c r="C98" s="46"/>
      <c r="D98" s="111"/>
      <c r="E98" s="25"/>
      <c r="F98" s="163"/>
      <c r="G98" s="326"/>
      <c r="H98" s="164"/>
      <c r="I98" s="607"/>
      <c r="J98" s="163"/>
      <c r="K98" s="127"/>
      <c r="L98" s="24"/>
    </row>
    <row r="99" spans="1:12" ht="21" hidden="1" customHeight="1">
      <c r="A99" s="57"/>
      <c r="B99" s="1"/>
      <c r="C99" s="46"/>
      <c r="D99" s="108"/>
      <c r="E99" s="27"/>
      <c r="F99" s="167"/>
      <c r="G99" s="323" t="e">
        <f>Tracking_SI5[[#This Row],[Còn lại so với ĐH]]/Tracking_SI5[[#This Row],[Số  lượng trên ĐH]]</f>
        <v>#DIV/0!</v>
      </c>
      <c r="H99" s="164"/>
      <c r="I99" s="608"/>
      <c r="J99" s="167"/>
      <c r="K99" s="134"/>
      <c r="L99" s="35"/>
    </row>
    <row r="100" spans="1:12" ht="21" hidden="1" customHeight="1">
      <c r="A100" s="57"/>
      <c r="B100" s="1"/>
      <c r="C100" s="46"/>
      <c r="D100" s="108"/>
      <c r="E100" s="27"/>
      <c r="F100" s="167"/>
      <c r="G100" s="323" t="e">
        <f>Tracking_SI5[[#This Row],[Còn lại so với ĐH]]/Tracking_SI5[[#This Row],[Số  lượng trên ĐH]]</f>
        <v>#DIV/0!</v>
      </c>
      <c r="H100" s="164"/>
      <c r="I100" s="608"/>
      <c r="J100" s="167"/>
      <c r="K100" s="134"/>
      <c r="L100" s="35"/>
    </row>
    <row r="101" spans="1:12" ht="21" hidden="1" customHeight="1">
      <c r="A101" s="57"/>
      <c r="B101" s="1"/>
      <c r="C101" s="46"/>
      <c r="D101" s="108"/>
      <c r="E101" s="27"/>
      <c r="F101" s="167"/>
      <c r="G101" s="323" t="e">
        <f>Tracking_SI5[[#This Row],[Còn lại so với ĐH]]/Tracking_SI5[[#This Row],[Số  lượng trên ĐH]]</f>
        <v>#DIV/0!</v>
      </c>
      <c r="H101" s="164"/>
      <c r="I101" s="608"/>
      <c r="J101" s="167"/>
      <c r="K101" s="134"/>
      <c r="L101" s="35"/>
    </row>
    <row r="102" spans="1:12" ht="21" customHeight="1">
      <c r="A102" s="58" t="s">
        <v>106</v>
      </c>
      <c r="B102" s="1" t="s">
        <v>121</v>
      </c>
      <c r="C102" s="62" t="s">
        <v>137</v>
      </c>
      <c r="D102" s="126"/>
      <c r="E102" s="126"/>
      <c r="F102" s="71"/>
      <c r="G102" s="323" t="e">
        <f>Tracking_SI5[[#This Row],[Còn lại so với ĐH]]/Tracking_SI5[[#This Row],[Số  lượng trên ĐH]]</f>
        <v>#DIV/0!</v>
      </c>
      <c r="H102" s="552"/>
      <c r="I102" s="210"/>
      <c r="J102" s="71"/>
      <c r="K102" s="135"/>
      <c r="L102" s="66"/>
    </row>
    <row r="103" spans="1:12" ht="21" customHeight="1">
      <c r="A103" s="57"/>
      <c r="B103" s="1" t="s">
        <v>121</v>
      </c>
      <c r="C103" s="46"/>
      <c r="D103" s="341">
        <v>46083</v>
      </c>
      <c r="E103" s="342" t="s">
        <v>211</v>
      </c>
      <c r="F103" s="343">
        <v>10000</v>
      </c>
      <c r="G103" s="323">
        <f>Tracking_SI5[[#This Row],[Còn lại so với ĐH]]/Tracking_SI5[[#This Row],[Số  lượng trên ĐH]]</f>
        <v>0</v>
      </c>
      <c r="H103" s="378">
        <f>SUM(H104:H117)</f>
        <v>10000</v>
      </c>
      <c r="I103" s="600">
        <f>Tracking_SI5[[#This Row],[Số  lượng trên ĐH]]-Tracking_SI5[[#This Row],[Số  lượng giao]]</f>
        <v>0</v>
      </c>
      <c r="J103" s="343"/>
      <c r="K103" s="356" t="s">
        <v>116</v>
      </c>
      <c r="L103" s="35"/>
    </row>
    <row r="104" spans="1:12" ht="21" hidden="1" customHeight="1">
      <c r="A104" s="57"/>
      <c r="B104" s="1" t="s">
        <v>121</v>
      </c>
      <c r="C104" s="46"/>
      <c r="D104" s="108" t="s">
        <v>262</v>
      </c>
      <c r="E104" s="27" t="s">
        <v>211</v>
      </c>
      <c r="F104" s="349"/>
      <c r="G104" s="323" t="e">
        <f>Tracking_SI5[[#This Row],[Còn lại so với ĐH]]/Tracking_SI5[[#This Row],[Số  lượng trên ĐH]]</f>
        <v>#DIV/0!</v>
      </c>
      <c r="H104" s="637">
        <v>8234</v>
      </c>
      <c r="I104" s="612"/>
      <c r="J104" s="167"/>
      <c r="K104" s="134" t="s">
        <v>118</v>
      </c>
      <c r="L104" s="35"/>
    </row>
    <row r="105" spans="1:12" ht="21" hidden="1" customHeight="1">
      <c r="A105" s="57"/>
      <c r="B105" s="1" t="s">
        <v>121</v>
      </c>
      <c r="C105" s="46"/>
      <c r="D105" s="108">
        <v>46148</v>
      </c>
      <c r="E105" s="27" t="s">
        <v>211</v>
      </c>
      <c r="F105" s="349"/>
      <c r="G105" s="323" t="e">
        <f>Tracking_SI5[[#This Row],[Còn lại so với ĐH]]/Tracking_SI5[[#This Row],[Số  lượng trên ĐH]]</f>
        <v>#DIV/0!</v>
      </c>
      <c r="H105" s="637">
        <v>979</v>
      </c>
      <c r="I105" s="612"/>
      <c r="J105" s="167"/>
      <c r="K105" s="134" t="s">
        <v>118</v>
      </c>
      <c r="L105" s="35"/>
    </row>
    <row r="106" spans="1:12" ht="21" hidden="1" customHeight="1">
      <c r="A106" s="57"/>
      <c r="B106" s="1" t="s">
        <v>121</v>
      </c>
      <c r="C106" s="46"/>
      <c r="D106" s="108">
        <v>46151</v>
      </c>
      <c r="E106" s="27" t="s">
        <v>211</v>
      </c>
      <c r="F106" s="349"/>
      <c r="G106" s="323" t="e">
        <f>Tracking_SI5[[#This Row],[Còn lại so với ĐH]]/Tracking_SI5[[#This Row],[Số  lượng trên ĐH]]</f>
        <v>#DIV/0!</v>
      </c>
      <c r="H106" s="637">
        <v>787</v>
      </c>
      <c r="I106" s="612"/>
      <c r="J106" s="167"/>
      <c r="K106" s="134" t="s">
        <v>118</v>
      </c>
      <c r="L106" s="35"/>
    </row>
    <row r="107" spans="1:12" ht="21" customHeight="1">
      <c r="A107" s="57" t="s">
        <v>115</v>
      </c>
      <c r="B107" s="1" t="s">
        <v>121</v>
      </c>
      <c r="C107" s="46"/>
      <c r="D107" s="341">
        <v>46149</v>
      </c>
      <c r="E107" s="342" t="s">
        <v>271</v>
      </c>
      <c r="F107" s="343">
        <v>10000</v>
      </c>
      <c r="G107" s="323">
        <f>Tracking_SI5[[#This Row],[Còn lại so với ĐH]]/Tracking_SI5[[#This Row],[Số  lượng trên ĐH]]</f>
        <v>1</v>
      </c>
      <c r="H107" s="378">
        <f>SUM(H108:H121)</f>
        <v>0</v>
      </c>
      <c r="I107" s="600">
        <f>Tracking_SI5[[#This Row],[Số  lượng trên ĐH]]-Tracking_SI5[[#This Row],[Số  lượng giao]]</f>
        <v>10000</v>
      </c>
      <c r="J107" s="356">
        <v>48200</v>
      </c>
      <c r="K107" s="356"/>
      <c r="L107" s="35"/>
    </row>
    <row r="108" spans="1:12" ht="21" hidden="1" customHeight="1">
      <c r="A108" s="57"/>
      <c r="B108" s="1" t="s">
        <v>121</v>
      </c>
      <c r="C108" s="46"/>
      <c r="D108" s="108"/>
      <c r="E108" s="27" t="s">
        <v>271</v>
      </c>
      <c r="F108" s="349"/>
      <c r="G108" s="323" t="e">
        <f>Tracking_SI5[[#This Row],[Còn lại so với ĐH]]/Tracking_SI5[[#This Row],[Số  lượng trên ĐH]]</f>
        <v>#DIV/0!</v>
      </c>
      <c r="H108" s="354"/>
      <c r="I108" s="612"/>
      <c r="J108" s="167"/>
      <c r="K108" s="127"/>
      <c r="L108" s="35"/>
    </row>
    <row r="109" spans="1:12" ht="21" hidden="1" customHeight="1">
      <c r="A109" s="57"/>
      <c r="B109" s="1" t="s">
        <v>121</v>
      </c>
      <c r="C109" s="46"/>
      <c r="D109" s="108"/>
      <c r="E109" s="27" t="s">
        <v>271</v>
      </c>
      <c r="F109" s="349"/>
      <c r="G109" s="323" t="e">
        <f>Tracking_SI5[[#This Row],[Còn lại so với ĐH]]/Tracking_SI5[[#This Row],[Số  lượng trên ĐH]]</f>
        <v>#DIV/0!</v>
      </c>
      <c r="H109" s="354"/>
      <c r="I109" s="612"/>
      <c r="J109" s="167"/>
      <c r="K109" s="127"/>
      <c r="L109" s="35"/>
    </row>
    <row r="110" spans="1:12" ht="21" hidden="1" customHeight="1">
      <c r="A110" s="57"/>
      <c r="B110" s="1" t="s">
        <v>121</v>
      </c>
      <c r="C110" s="46"/>
      <c r="D110" s="108"/>
      <c r="E110" s="27" t="s">
        <v>271</v>
      </c>
      <c r="F110" s="613"/>
      <c r="G110" s="323" t="e">
        <f>Tracking_SI5[[#This Row],[Còn lại so với ĐH]]/Tracking_SI5[[#This Row],[Số  lượng trên ĐH]]</f>
        <v>#DIV/0!</v>
      </c>
      <c r="H110" s="164"/>
      <c r="I110" s="354"/>
      <c r="J110" s="167"/>
      <c r="K110" s="127"/>
      <c r="L110" s="35"/>
    </row>
    <row r="111" spans="1:12" ht="21" customHeight="1">
      <c r="A111" s="58" t="s">
        <v>106</v>
      </c>
      <c r="B111" s="1"/>
      <c r="C111" s="62" t="s">
        <v>33</v>
      </c>
      <c r="D111" s="70"/>
      <c r="E111" s="126"/>
      <c r="F111" s="71"/>
      <c r="G111" s="323" t="e">
        <f>Tracking_SI5[[#This Row],[Còn lại so với ĐH]]/Tracking_SI5[[#This Row],[Số  lượng trên ĐH]]</f>
        <v>#DIV/0!</v>
      </c>
      <c r="H111" s="238"/>
      <c r="I111" s="211"/>
      <c r="J111" s="71"/>
      <c r="K111" s="135"/>
      <c r="L111" s="66"/>
    </row>
    <row r="112" spans="1:12" ht="21" hidden="1" customHeight="1">
      <c r="A112" s="57"/>
      <c r="B112" s="1"/>
      <c r="C112" s="46"/>
      <c r="D112" s="111"/>
      <c r="E112" s="27"/>
      <c r="F112" s="167"/>
      <c r="G112" s="323" t="e">
        <f>Tracking_SI5[[#This Row],[Còn lại so với ĐH]]/Tracking_SI5[[#This Row],[Số  lượng trên ĐH]]</f>
        <v>#DIV/0!</v>
      </c>
      <c r="H112" s="164"/>
      <c r="I112" s="354"/>
      <c r="J112" s="167"/>
      <c r="K112" s="134"/>
      <c r="L112" s="35"/>
    </row>
    <row r="113" spans="1:12" ht="21" hidden="1" customHeight="1">
      <c r="A113" s="57"/>
      <c r="B113" s="1"/>
      <c r="C113" s="46"/>
      <c r="D113" s="111"/>
      <c r="E113" s="27"/>
      <c r="F113" s="167"/>
      <c r="G113" s="323" t="e">
        <f>Tracking_SI5[[#This Row],[Còn lại so với ĐH]]/Tracking_SI5[[#This Row],[Số  lượng trên ĐH]]</f>
        <v>#DIV/0!</v>
      </c>
      <c r="H113" s="164"/>
      <c r="I113" s="606"/>
      <c r="J113" s="167"/>
      <c r="K113" s="134"/>
      <c r="L113" s="35"/>
    </row>
    <row r="114" spans="1:12" ht="21" customHeight="1">
      <c r="A114" s="58" t="s">
        <v>106</v>
      </c>
      <c r="B114" s="1" t="s">
        <v>129</v>
      </c>
      <c r="C114" s="62" t="s">
        <v>181</v>
      </c>
      <c r="D114" s="70"/>
      <c r="E114" s="126"/>
      <c r="F114" s="71"/>
      <c r="G114" s="323" t="e">
        <f>Tracking_SI5[[#This Row],[Còn lại so với ĐH]]/Tracking_SI5[[#This Row],[Số  lượng trên ĐH]]</f>
        <v>#DIV/0!</v>
      </c>
      <c r="H114" s="219"/>
      <c r="I114" s="210"/>
      <c r="J114" s="71"/>
      <c r="K114" s="135"/>
      <c r="L114" s="66"/>
    </row>
    <row r="115" spans="1:12" ht="21" hidden="1" customHeight="1">
      <c r="A115" s="58"/>
      <c r="B115" s="1" t="s">
        <v>129</v>
      </c>
      <c r="C115" s="46"/>
      <c r="D115" s="183"/>
      <c r="E115" s="194"/>
      <c r="F115" s="172"/>
      <c r="G115" s="326" t="e">
        <f>Tracking_SI5[[#This Row],[Còn lại so với ĐH]]/Tracking_SI5[[#This Row],[Số  lượng trên ĐH]]</f>
        <v>#DIV/0!</v>
      </c>
      <c r="H115" s="164"/>
      <c r="I115" s="614"/>
      <c r="J115" s="172"/>
      <c r="K115" s="195"/>
      <c r="L115" s="24"/>
    </row>
    <row r="116" spans="1:12" ht="21" hidden="1" customHeight="1">
      <c r="A116" s="57"/>
      <c r="B116" s="1" t="s">
        <v>129</v>
      </c>
      <c r="C116" s="46"/>
      <c r="D116" s="148"/>
      <c r="E116" s="27"/>
      <c r="F116" s="167"/>
      <c r="G116" s="323" t="e">
        <f>Tracking_SI5[[#This Row],[Còn lại so với ĐH]]/Tracking_SI5[[#This Row],[Số  lượng trên ĐH]]</f>
        <v>#DIV/0!</v>
      </c>
      <c r="H116" s="164"/>
      <c r="I116" s="608"/>
      <c r="J116" s="167"/>
      <c r="K116" s="130"/>
      <c r="L116" s="35"/>
    </row>
    <row r="117" spans="1:12" ht="21" hidden="1" customHeight="1">
      <c r="A117" s="58"/>
      <c r="B117" s="1" t="s">
        <v>129</v>
      </c>
      <c r="C117" s="46"/>
      <c r="D117" s="154"/>
      <c r="E117" s="155"/>
      <c r="F117" s="168"/>
      <c r="G117" s="326" t="e">
        <f>Tracking_SI5[[#This Row],[Còn lại so với ĐH]]/Tracking_SI5[[#This Row],[Số  lượng trên ĐH]]</f>
        <v>#DIV/0!</v>
      </c>
      <c r="H117" s="333"/>
      <c r="I117" s="615"/>
      <c r="J117" s="163"/>
      <c r="K117" s="182"/>
      <c r="L117" s="24"/>
    </row>
    <row r="118" spans="1:12" ht="21" hidden="1" customHeight="1">
      <c r="A118" s="57"/>
      <c r="B118" s="1" t="s">
        <v>129</v>
      </c>
      <c r="C118" s="46"/>
      <c r="D118" s="148"/>
      <c r="E118" s="27"/>
      <c r="F118" s="167"/>
      <c r="G118" s="326" t="e">
        <f>Tracking_SI5[[#This Row],[Còn lại so với ĐH]]/Tracking_SI5[[#This Row],[Số  lượng trên ĐH]]</f>
        <v>#DIV/0!</v>
      </c>
      <c r="H118" s="164"/>
      <c r="I118" s="608"/>
      <c r="J118" s="167"/>
      <c r="K118" s="134"/>
      <c r="L118" s="35"/>
    </row>
    <row r="119" spans="1:12" ht="21" hidden="1" customHeight="1">
      <c r="A119" s="57"/>
      <c r="B119" s="1" t="s">
        <v>129</v>
      </c>
      <c r="C119" s="46"/>
      <c r="D119" s="148"/>
      <c r="E119" s="27"/>
      <c r="F119" s="167"/>
      <c r="G119" s="326" t="e">
        <f>Tracking_SI5[[#This Row],[Còn lại so với ĐH]]/Tracking_SI5[[#This Row],[Số  lượng trên ĐH]]</f>
        <v>#DIV/0!</v>
      </c>
      <c r="H119" s="164"/>
      <c r="I119" s="608"/>
      <c r="J119" s="167"/>
      <c r="K119" s="134"/>
      <c r="L119" s="35"/>
    </row>
    <row r="120" spans="1:12" ht="21" hidden="1" customHeight="1">
      <c r="A120" s="57"/>
      <c r="B120" s="1" t="s">
        <v>129</v>
      </c>
      <c r="C120" s="46"/>
      <c r="D120" s="148"/>
      <c r="E120" s="27"/>
      <c r="F120" s="167"/>
      <c r="G120" s="326" t="e">
        <f>Tracking_SI5[[#This Row],[Còn lại so với ĐH]]/Tracking_SI5[[#This Row],[Số  lượng trên ĐH]]</f>
        <v>#DIV/0!</v>
      </c>
      <c r="H120" s="164"/>
      <c r="I120" s="608"/>
      <c r="J120" s="167"/>
      <c r="K120" s="134"/>
      <c r="L120" s="35"/>
    </row>
    <row r="121" spans="1:12" ht="21" hidden="1" customHeight="1">
      <c r="A121" s="57"/>
      <c r="B121" s="1" t="s">
        <v>129</v>
      </c>
      <c r="C121" s="46"/>
      <c r="D121" s="148"/>
      <c r="E121" s="27"/>
      <c r="F121" s="167"/>
      <c r="G121" s="326" t="e">
        <f>Tracking_SI5[[#This Row],[Còn lại so với ĐH]]/Tracking_SI5[[#This Row],[Số  lượng trên ĐH]]</f>
        <v>#DIV/0!</v>
      </c>
      <c r="H121" s="164"/>
      <c r="I121" s="609"/>
      <c r="J121" s="167"/>
      <c r="K121" s="134"/>
      <c r="L121" s="35"/>
    </row>
    <row r="122" spans="1:12" ht="21" hidden="1" customHeight="1">
      <c r="A122" s="57"/>
      <c r="B122" s="1" t="s">
        <v>129</v>
      </c>
      <c r="C122" s="46"/>
      <c r="D122" s="148"/>
      <c r="E122" s="27"/>
      <c r="F122" s="167"/>
      <c r="G122" s="326" t="e">
        <f>Tracking_SI5[[#This Row],[Còn lại so với ĐH]]/Tracking_SI5[[#This Row],[Số  lượng trên ĐH]]</f>
        <v>#DIV/0!</v>
      </c>
      <c r="H122" s="164"/>
      <c r="I122" s="354"/>
      <c r="J122" s="167"/>
      <c r="K122" s="134"/>
      <c r="L122" s="35"/>
    </row>
    <row r="123" spans="1:12" ht="21" hidden="1" customHeight="1">
      <c r="A123" s="57"/>
      <c r="B123" s="1" t="s">
        <v>129</v>
      </c>
      <c r="C123" s="46"/>
      <c r="D123" s="148"/>
      <c r="E123" s="27"/>
      <c r="F123" s="164"/>
      <c r="G123" s="326" t="e">
        <f>Tracking_SI5[[#This Row],[Còn lại so với ĐH]]/Tracking_SI5[[#This Row],[Số  lượng trên ĐH]]</f>
        <v>#DIV/0!</v>
      </c>
      <c r="H123" s="164"/>
      <c r="I123" s="354"/>
      <c r="J123" s="167"/>
      <c r="K123" s="134"/>
      <c r="L123" s="35"/>
    </row>
    <row r="124" spans="1:12" ht="21" hidden="1" customHeight="1">
      <c r="A124" s="57"/>
      <c r="B124" s="1" t="s">
        <v>129</v>
      </c>
      <c r="C124" s="46"/>
      <c r="D124" s="148"/>
      <c r="E124" s="27"/>
      <c r="F124" s="167"/>
      <c r="G124" s="326" t="e">
        <f>Tracking_SI5[[#This Row],[Còn lại so với ĐH]]/Tracking_SI5[[#This Row],[Số  lượng trên ĐH]]</f>
        <v>#DIV/0!</v>
      </c>
      <c r="H124" s="164"/>
      <c r="I124" s="354"/>
      <c r="J124" s="167"/>
      <c r="K124" s="134"/>
      <c r="L124" s="35"/>
    </row>
    <row r="125" spans="1:12" ht="20.25" customHeight="1">
      <c r="A125" s="58" t="s">
        <v>106</v>
      </c>
      <c r="B125" s="782" t="s">
        <v>176</v>
      </c>
      <c r="C125" s="62" t="s">
        <v>216</v>
      </c>
      <c r="D125" s="70"/>
      <c r="E125" s="126"/>
      <c r="F125" s="71"/>
      <c r="G125" s="323" t="e">
        <f>Tracking_SI5[[#This Row],[Còn lại so với ĐH]]/Tracking_SI5[[#This Row],[Số  lượng trên ĐH]]</f>
        <v>#DIV/0!</v>
      </c>
      <c r="H125" s="219"/>
      <c r="I125" s="210"/>
      <c r="J125" s="71"/>
      <c r="K125" s="135"/>
      <c r="L125" s="66"/>
    </row>
    <row r="126" spans="1:12" ht="20.25" customHeight="1">
      <c r="A126" s="57" t="s">
        <v>115</v>
      </c>
      <c r="B126" s="1" t="s">
        <v>176</v>
      </c>
      <c r="C126" s="46"/>
      <c r="D126" s="341">
        <v>46259</v>
      </c>
      <c r="E126" s="342" t="s">
        <v>293</v>
      </c>
      <c r="F126" s="678">
        <v>10000</v>
      </c>
      <c r="G126" s="323">
        <f>Tracking_SI5[[#This Row],[Còn lại so với ĐH]]/Tracking_SI5[[#This Row],[Số  lượng trên ĐH]]</f>
        <v>0.80600000000000005</v>
      </c>
      <c r="H126" s="601">
        <f>SUM(H127:H132)</f>
        <v>1940</v>
      </c>
      <c r="I126" s="679">
        <f>Tracking_SI5[[#This Row],[Số  lượng trên ĐH]]-Tracking_SI5[[#This Row],[Số  lượng giao]]</f>
        <v>8060</v>
      </c>
      <c r="J126" s="678"/>
      <c r="K126" s="680"/>
      <c r="L126" s="35"/>
    </row>
    <row r="127" spans="1:12" ht="20.25" hidden="1" customHeight="1">
      <c r="A127" s="57" t="s">
        <v>118</v>
      </c>
      <c r="B127" s="1" t="s">
        <v>176</v>
      </c>
      <c r="C127" s="46"/>
      <c r="D127" s="148">
        <v>46297</v>
      </c>
      <c r="E127" s="27" t="s">
        <v>293</v>
      </c>
      <c r="F127" s="167"/>
      <c r="G127" s="323" t="e">
        <f>Tracking_SI5[[#This Row],[Còn lại so với ĐH]]/Tracking_SI5[[#This Row],[Số  lượng trên ĐH]]</f>
        <v>#DIV/0!</v>
      </c>
      <c r="H127" s="164">
        <v>1940</v>
      </c>
      <c r="I127" s="606"/>
      <c r="J127" s="167"/>
      <c r="K127" s="134"/>
      <c r="L127" s="35"/>
    </row>
    <row r="128" spans="1:12" ht="20.25" hidden="1" customHeight="1">
      <c r="A128" s="57"/>
      <c r="B128" s="1" t="s">
        <v>176</v>
      </c>
      <c r="C128" s="46"/>
      <c r="D128" s="148"/>
      <c r="E128" s="27" t="s">
        <v>293</v>
      </c>
      <c r="F128" s="167"/>
      <c r="G128" s="323" t="e">
        <f>Tracking_SI5[[#This Row],[Còn lại so với ĐH]]/Tracking_SI5[[#This Row],[Số  lượng trên ĐH]]</f>
        <v>#DIV/0!</v>
      </c>
      <c r="H128" s="164"/>
      <c r="I128" s="608"/>
      <c r="J128" s="167"/>
      <c r="K128" s="134"/>
      <c r="L128" s="35"/>
    </row>
    <row r="129" spans="1:18" ht="20.25" hidden="1" customHeight="1">
      <c r="A129" s="57"/>
      <c r="B129" s="1" t="s">
        <v>176</v>
      </c>
      <c r="C129" s="46"/>
      <c r="D129" s="154"/>
      <c r="E129" s="27" t="s">
        <v>293</v>
      </c>
      <c r="F129" s="168"/>
      <c r="G129" s="326" t="e">
        <f>Tracking_SI5[[#This Row],[Còn lại so với ĐH]]/Tracking_SI5[[#This Row],[Số  lượng trên ĐH]]</f>
        <v>#DIV/0!</v>
      </c>
      <c r="H129" s="168"/>
      <c r="I129" s="616"/>
      <c r="J129" s="617"/>
      <c r="K129" s="154"/>
      <c r="L129" s="35"/>
    </row>
    <row r="130" spans="1:18" ht="20.25" hidden="1" customHeight="1">
      <c r="A130" s="57"/>
      <c r="B130" s="1" t="s">
        <v>176</v>
      </c>
      <c r="C130" s="46"/>
      <c r="D130" s="148"/>
      <c r="E130" s="27" t="s">
        <v>293</v>
      </c>
      <c r="F130" s="167"/>
      <c r="G130" s="326" t="e">
        <f>Tracking_SI5[[#This Row],[Còn lại so với ĐH]]/Tracking_SI5[[#This Row],[Số  lượng trên ĐH]]</f>
        <v>#DIV/0!</v>
      </c>
      <c r="H130" s="164"/>
      <c r="I130" s="608"/>
      <c r="J130" s="167"/>
      <c r="K130" s="134"/>
      <c r="L130" s="35"/>
    </row>
    <row r="131" spans="1:18" ht="20.25" hidden="1" customHeight="1">
      <c r="A131" s="57"/>
      <c r="B131" s="1" t="s">
        <v>176</v>
      </c>
      <c r="C131" s="46"/>
      <c r="D131" s="148"/>
      <c r="E131" s="27" t="s">
        <v>293</v>
      </c>
      <c r="F131" s="167"/>
      <c r="G131" s="326" t="e">
        <f>Tracking_SI5[[#This Row],[Còn lại so với ĐH]]/Tracking_SI5[[#This Row],[Số  lượng trên ĐH]]</f>
        <v>#DIV/0!</v>
      </c>
      <c r="H131" s="164"/>
      <c r="I131" s="608"/>
      <c r="J131" s="167"/>
      <c r="K131" s="134"/>
      <c r="L131" s="35"/>
    </row>
    <row r="132" spans="1:18" ht="20.25" hidden="1" customHeight="1">
      <c r="A132" s="57"/>
      <c r="B132" s="1" t="s">
        <v>176</v>
      </c>
      <c r="C132" s="46"/>
      <c r="D132" s="111"/>
      <c r="E132" s="27" t="s">
        <v>293</v>
      </c>
      <c r="F132" s="167"/>
      <c r="G132" s="326" t="e">
        <f>Tracking_SI5[[#This Row],[Còn lại so với ĐH]]/Tracking_SI5[[#This Row],[Số  lượng trên ĐH]]</f>
        <v>#DIV/0!</v>
      </c>
      <c r="H132" s="164"/>
      <c r="I132" s="608"/>
      <c r="J132" s="167"/>
      <c r="K132" s="134"/>
      <c r="L132" s="35"/>
    </row>
    <row r="133" spans="1:18" ht="20.25" customHeight="1">
      <c r="A133" s="58" t="s">
        <v>106</v>
      </c>
      <c r="B133" s="320" t="s">
        <v>276</v>
      </c>
      <c r="C133" s="62" t="s">
        <v>280</v>
      </c>
      <c r="D133" s="70"/>
      <c r="E133" s="126"/>
      <c r="F133" s="219"/>
      <c r="G133" s="326" t="e">
        <f>Tracking_SI5[[#This Row],[Còn lại so với ĐH]]/Tracking_SI5[[#This Row],[Số  lượng trên ĐH]]</f>
        <v>#DIV/0!</v>
      </c>
      <c r="H133" s="210"/>
      <c r="I133" s="71"/>
      <c r="J133" s="135"/>
      <c r="K133" s="66"/>
      <c r="L133" s="323" t="e">
        <v>#DIV/0!</v>
      </c>
    </row>
    <row r="134" spans="1:18" ht="20.25" customHeight="1">
      <c r="A134" s="57"/>
      <c r="B134" s="421" t="s">
        <v>276</v>
      </c>
      <c r="C134" s="152"/>
      <c r="D134" s="341">
        <v>46183</v>
      </c>
      <c r="E134" s="342" t="s">
        <v>278</v>
      </c>
      <c r="F134" s="343">
        <v>5000</v>
      </c>
      <c r="G134">
        <f>Tracking_SI5[[#This Row],[Còn lại so với ĐH]]/Tracking_SI5[[#This Row],[Số  lượng trên ĐH]]</f>
        <v>-1.72E-2</v>
      </c>
      <c r="H134" s="601">
        <f>SUM(H135:H139)</f>
        <v>5086</v>
      </c>
      <c r="I134" s="601">
        <f>Tracking_SI5[[#This Row],[Số  lượng trên ĐH]]-Tracking_SI5[[#This Row],[Số  lượng giao]]</f>
        <v>-86</v>
      </c>
      <c r="J134" s="373">
        <v>43700</v>
      </c>
      <c r="K134" s="35" t="s">
        <v>116</v>
      </c>
      <c r="L134" s="326"/>
      <c r="Q134" s="9"/>
      <c r="R134" s="9"/>
    </row>
    <row r="135" spans="1:18" ht="20.25" hidden="1" customHeight="1">
      <c r="A135" s="57"/>
      <c r="B135" s="1" t="s">
        <v>276</v>
      </c>
      <c r="C135" s="152"/>
      <c r="D135" s="108">
        <v>46221</v>
      </c>
      <c r="E135" s="30" t="s">
        <v>278</v>
      </c>
      <c r="F135" s="35"/>
      <c r="G135" s="326" t="e">
        <f>Tracking_SI5[[#This Row],[Còn lại so với ĐH]]/Tracking_SI5[[#This Row],[Số  lượng trên ĐH]]</f>
        <v>#DIV/0!</v>
      </c>
      <c r="H135" s="31">
        <v>1789</v>
      </c>
      <c r="I135" s="188"/>
      <c r="J135" s="32"/>
      <c r="K135" s="133"/>
      <c r="L135" s="35"/>
    </row>
    <row r="136" spans="1:18" ht="20.25" hidden="1" customHeight="1">
      <c r="A136" s="57"/>
      <c r="B136" s="1" t="s">
        <v>276</v>
      </c>
      <c r="C136" s="152"/>
      <c r="D136" s="111">
        <v>46225</v>
      </c>
      <c r="E136" s="30" t="s">
        <v>278</v>
      </c>
      <c r="F136" s="35"/>
      <c r="G136" s="326" t="e">
        <f>Tracking_SI5[[#This Row],[Còn lại so với ĐH]]/Tracking_SI5[[#This Row],[Số  lượng trên ĐH]]</f>
        <v>#DIV/0!</v>
      </c>
      <c r="H136" s="31">
        <v>3297</v>
      </c>
      <c r="I136" s="188"/>
      <c r="J136" s="32"/>
      <c r="K136" s="133"/>
      <c r="L136" s="35"/>
    </row>
    <row r="137" spans="1:18" ht="20.25" hidden="1" customHeight="1">
      <c r="A137" s="57"/>
      <c r="B137" s="1" t="s">
        <v>276</v>
      </c>
      <c r="C137" s="152"/>
      <c r="D137" s="111"/>
      <c r="E137" s="30" t="s">
        <v>278</v>
      </c>
      <c r="F137" s="35"/>
      <c r="G137" s="326" t="e">
        <f>Tracking_SI5[[#This Row],[Còn lại so với ĐH]]/Tracking_SI5[[#This Row],[Số  lượng trên ĐH]]</f>
        <v>#DIV/0!</v>
      </c>
      <c r="H137" s="31"/>
      <c r="I137" s="188"/>
      <c r="J137" s="32"/>
      <c r="K137" s="133"/>
      <c r="L137" s="35"/>
    </row>
    <row r="138" spans="1:18" ht="20.25" hidden="1" customHeight="1">
      <c r="A138" s="57"/>
      <c r="B138" s="1" t="s">
        <v>276</v>
      </c>
      <c r="C138" s="152"/>
      <c r="D138" s="111"/>
      <c r="E138" s="30" t="s">
        <v>278</v>
      </c>
      <c r="F138" s="35"/>
      <c r="G138" s="326" t="e">
        <f>Tracking_SI5[[#This Row],[Còn lại so với ĐH]]/Tracking_SI5[[#This Row],[Số  lượng trên ĐH]]</f>
        <v>#DIV/0!</v>
      </c>
      <c r="H138" s="31"/>
      <c r="I138" s="188"/>
      <c r="J138" s="32"/>
      <c r="K138" s="133"/>
      <c r="L138" s="35"/>
    </row>
    <row r="139" spans="1:18" ht="20.25" hidden="1" customHeight="1">
      <c r="A139" s="57"/>
      <c r="B139" s="1" t="s">
        <v>276</v>
      </c>
      <c r="C139" s="152"/>
      <c r="D139" s="111"/>
      <c r="E139" s="30" t="s">
        <v>278</v>
      </c>
      <c r="F139" s="35"/>
      <c r="G139" s="326" t="e">
        <f>Tracking_SI5[[#This Row],[Còn lại so với ĐH]]/Tracking_SI5[[#This Row],[Số  lượng trên ĐH]]</f>
        <v>#DIV/0!</v>
      </c>
      <c r="H139" s="31"/>
      <c r="I139" s="188"/>
      <c r="J139" s="32"/>
      <c r="K139" s="133"/>
      <c r="L139" s="35"/>
    </row>
    <row r="140" spans="1:18" ht="20.25" customHeight="1">
      <c r="A140" s="58" t="s">
        <v>106</v>
      </c>
      <c r="B140" s="320" t="s">
        <v>277</v>
      </c>
      <c r="C140" s="62" t="s">
        <v>281</v>
      </c>
      <c r="D140" s="70"/>
      <c r="E140" s="126"/>
      <c r="F140" s="219"/>
      <c r="G140" s="326" t="e">
        <f>Tracking_SI5[[#This Row],[Còn lại so với ĐH]]/Tracking_SI5[[#This Row],[Số  lượng trên ĐH]]</f>
        <v>#DIV/0!</v>
      </c>
      <c r="H140" s="210"/>
      <c r="I140" s="71"/>
      <c r="J140" s="135"/>
      <c r="K140" s="66"/>
      <c r="L140" s="323" t="e">
        <v>#DIV/0!</v>
      </c>
    </row>
    <row r="141" spans="1:18" ht="20.25" customHeight="1">
      <c r="A141" s="57" t="s">
        <v>115</v>
      </c>
      <c r="B141" s="421" t="s">
        <v>277</v>
      </c>
      <c r="C141" s="152"/>
      <c r="D141" s="341">
        <v>46183</v>
      </c>
      <c r="E141" s="342" t="s">
        <v>278</v>
      </c>
      <c r="F141" s="601">
        <v>10000</v>
      </c>
      <c r="G141">
        <f>Tracking_SI5[[#This Row],[Còn lại so với ĐH]]/Tracking_SI5[[#This Row],[Số  lượng trên ĐH]]</f>
        <v>0.52939999999999998</v>
      </c>
      <c r="H141" s="601">
        <f>SUM(H142:H146)</f>
        <v>4706</v>
      </c>
      <c r="I141" s="601">
        <f>Tracking_SI5[[#This Row],[Số  lượng trên ĐH]]-Tracking_SI5[[#This Row],[Số  lượng giao]]</f>
        <v>5294</v>
      </c>
      <c r="J141" s="373">
        <v>43700</v>
      </c>
      <c r="K141" s="326"/>
      <c r="L141"/>
      <c r="P141" s="9"/>
      <c r="Q141" s="9"/>
    </row>
    <row r="142" spans="1:18" ht="20.25" hidden="1" customHeight="1">
      <c r="A142" s="57"/>
      <c r="B142" s="1" t="s">
        <v>277</v>
      </c>
      <c r="C142" s="152"/>
      <c r="D142" s="288">
        <v>46273</v>
      </c>
      <c r="E142" s="30" t="s">
        <v>278</v>
      </c>
      <c r="F142" s="35"/>
      <c r="G142" s="326" t="e">
        <f>Tracking_SI5[[#This Row],[Còn lại so với ĐH]]/Tracking_SI5[[#This Row],[Số  lượng trên ĐH]]</f>
        <v>#DIV/0!</v>
      </c>
      <c r="H142" s="31">
        <v>2548</v>
      </c>
      <c r="I142" s="188"/>
      <c r="J142" s="32"/>
      <c r="K142" s="133"/>
      <c r="L142" s="35"/>
    </row>
    <row r="143" spans="1:18" ht="20.25" hidden="1" customHeight="1">
      <c r="A143" s="57" t="s">
        <v>118</v>
      </c>
      <c r="B143" s="1" t="s">
        <v>277</v>
      </c>
      <c r="C143" s="152"/>
      <c r="D143" s="288">
        <v>46297</v>
      </c>
      <c r="E143" s="30" t="s">
        <v>278</v>
      </c>
      <c r="F143" s="35"/>
      <c r="G143" s="326" t="e">
        <f>Tracking_SI5[[#This Row],[Còn lại so với ĐH]]/Tracking_SI5[[#This Row],[Số  lượng trên ĐH]]</f>
        <v>#DIV/0!</v>
      </c>
      <c r="H143" s="31">
        <v>2158</v>
      </c>
      <c r="I143" s="188"/>
      <c r="J143" s="32"/>
      <c r="K143" s="133"/>
      <c r="L143" s="35"/>
    </row>
    <row r="144" spans="1:18" ht="20.25" hidden="1" customHeight="1">
      <c r="A144" s="57"/>
      <c r="B144" s="1" t="s">
        <v>277</v>
      </c>
      <c r="C144" s="152"/>
      <c r="D144" s="111"/>
      <c r="E144" s="30" t="s">
        <v>278</v>
      </c>
      <c r="F144" s="35"/>
      <c r="G144" s="326" t="e">
        <f>Tracking_SI5[[#This Row],[Còn lại so với ĐH]]/Tracking_SI5[[#This Row],[Số  lượng trên ĐH]]</f>
        <v>#DIV/0!</v>
      </c>
      <c r="H144" s="31"/>
      <c r="I144" s="188"/>
      <c r="J144" s="32"/>
      <c r="K144" s="133"/>
      <c r="L144" s="35"/>
    </row>
    <row r="145" spans="1:19" ht="20.25" hidden="1" customHeight="1">
      <c r="A145" s="57"/>
      <c r="B145" s="1" t="s">
        <v>277</v>
      </c>
      <c r="C145" s="152"/>
      <c r="D145" s="111"/>
      <c r="E145" s="30" t="s">
        <v>278</v>
      </c>
      <c r="F145" s="35"/>
      <c r="G145" s="326" t="e">
        <f>Tracking_SI5[[#This Row],[Còn lại so với ĐH]]/Tracking_SI5[[#This Row],[Số  lượng trên ĐH]]</f>
        <v>#DIV/0!</v>
      </c>
      <c r="H145" s="31"/>
      <c r="I145" s="188"/>
      <c r="J145" s="32"/>
      <c r="K145" s="133"/>
      <c r="L145" s="35"/>
    </row>
    <row r="146" spans="1:19" ht="20.25" hidden="1" customHeight="1">
      <c r="A146" s="57"/>
      <c r="B146" s="1" t="s">
        <v>277</v>
      </c>
      <c r="C146" s="152"/>
      <c r="D146" s="111"/>
      <c r="E146" s="30" t="s">
        <v>278</v>
      </c>
      <c r="F146" s="35"/>
      <c r="G146" s="326" t="e">
        <f>Tracking_SI5[[#This Row],[Còn lại so với ĐH]]/Tracking_SI5[[#This Row],[Số  lượng trên ĐH]]</f>
        <v>#DIV/0!</v>
      </c>
      <c r="H146" s="31"/>
      <c r="I146" s="188"/>
      <c r="J146" s="32"/>
      <c r="K146" s="133"/>
      <c r="L146" s="35"/>
    </row>
    <row r="147" spans="1:19" ht="21" customHeight="1">
      <c r="A147" s="58" t="s">
        <v>106</v>
      </c>
      <c r="B147" s="73" t="s">
        <v>213</v>
      </c>
      <c r="C147" s="74" t="s">
        <v>214</v>
      </c>
      <c r="D147" s="75"/>
      <c r="E147" s="75"/>
      <c r="F147" s="76"/>
      <c r="G147" s="323" t="e">
        <f>Tracking_SI5[[#This Row],[Còn lại so với ĐH]]/Tracking_SI5[[#This Row],[Số  lượng trên ĐH]]</f>
        <v>#DIV/0!</v>
      </c>
      <c r="H147" s="220"/>
      <c r="I147" s="203"/>
      <c r="J147" s="77"/>
      <c r="K147" s="136"/>
      <c r="L147" s="77"/>
    </row>
    <row r="148" spans="1:19" ht="21" customHeight="1">
      <c r="A148" s="57"/>
      <c r="B148" s="421" t="s">
        <v>213</v>
      </c>
      <c r="C148" s="152"/>
      <c r="D148" s="341">
        <v>46086</v>
      </c>
      <c r="E148" s="342" t="s">
        <v>212</v>
      </c>
      <c r="F148" s="343">
        <v>15000</v>
      </c>
      <c r="G148" s="326">
        <f>Tracking_SI5[[#This Row],[Còn lại so với ĐH]]/Tracking_SI5[[#This Row],[Số  lượng trên ĐH]]</f>
        <v>6.666666666666667E-5</v>
      </c>
      <c r="H148" s="343">
        <f>SUM(H149:H154)</f>
        <v>14999</v>
      </c>
      <c r="I148" s="601">
        <f>Tracking_SI5[[#This Row],[Số  lượng trên ĐH]]-Tracking_SI5[[#This Row],[Số  lượng giao]]</f>
        <v>1</v>
      </c>
      <c r="J148" s="343"/>
      <c r="K148" s="373" t="s">
        <v>116</v>
      </c>
      <c r="L148" s="35"/>
      <c r="R148" s="9"/>
      <c r="S148" s="9"/>
    </row>
    <row r="149" spans="1:19" ht="21" hidden="1" customHeight="1">
      <c r="A149" s="57"/>
      <c r="B149" s="1" t="s">
        <v>213</v>
      </c>
      <c r="C149" s="152"/>
      <c r="D149" s="108" t="s">
        <v>262</v>
      </c>
      <c r="E149" s="30" t="s">
        <v>212</v>
      </c>
      <c r="F149" s="167"/>
      <c r="G149" s="326" t="e">
        <f>Tracking_SI5[[#This Row],[Còn lại so với ĐH]]/Tracking_SI5[[#This Row],[Số  lượng trên ĐH]]</f>
        <v>#DIV/0!</v>
      </c>
      <c r="H149" s="166">
        <v>10784</v>
      </c>
      <c r="I149" s="608"/>
      <c r="J149" s="344"/>
      <c r="K149" s="133" t="s">
        <v>118</v>
      </c>
      <c r="L149" s="35"/>
      <c r="R149" s="9"/>
      <c r="S149" s="9"/>
    </row>
    <row r="150" spans="1:19" ht="21" hidden="1" customHeight="1">
      <c r="A150" s="57"/>
      <c r="B150" s="1" t="s">
        <v>213</v>
      </c>
      <c r="C150" s="152"/>
      <c r="D150" s="108">
        <v>46141</v>
      </c>
      <c r="E150" s="27" t="s">
        <v>212</v>
      </c>
      <c r="F150" s="167"/>
      <c r="G150" s="326" t="e">
        <f>Tracking_SI5[[#This Row],[Còn lại so với ĐH]]/Tracking_SI5[[#This Row],[Số  lượng trên ĐH]]</f>
        <v>#DIV/0!</v>
      </c>
      <c r="H150" s="166">
        <v>2808</v>
      </c>
      <c r="I150" s="608"/>
      <c r="J150" s="344"/>
      <c r="K150" s="133" t="s">
        <v>118</v>
      </c>
      <c r="L150" s="35"/>
      <c r="R150" s="9"/>
      <c r="S150" s="9"/>
    </row>
    <row r="151" spans="1:19" ht="21" hidden="1" customHeight="1">
      <c r="A151" s="57"/>
      <c r="B151" s="1" t="s">
        <v>213</v>
      </c>
      <c r="C151" s="152"/>
      <c r="D151" s="111">
        <v>46157</v>
      </c>
      <c r="E151" s="30" t="s">
        <v>212</v>
      </c>
      <c r="F151" s="167"/>
      <c r="G151" s="326" t="e">
        <f>Tracking_SI5[[#This Row],[Còn lại so với ĐH]]/Tracking_SI5[[#This Row],[Số  lượng trên ĐH]]</f>
        <v>#DIV/0!</v>
      </c>
      <c r="H151" s="166">
        <v>1119</v>
      </c>
      <c r="I151" s="608"/>
      <c r="J151" s="344"/>
      <c r="K151" s="133" t="s">
        <v>118</v>
      </c>
      <c r="L151" s="35"/>
      <c r="R151" s="9"/>
      <c r="S151" s="9"/>
    </row>
    <row r="152" spans="1:19" ht="21" hidden="1" customHeight="1">
      <c r="A152" s="57"/>
      <c r="B152" s="1" t="s">
        <v>213</v>
      </c>
      <c r="C152" s="152"/>
      <c r="D152" s="108">
        <v>46168</v>
      </c>
      <c r="E152" s="30" t="s">
        <v>212</v>
      </c>
      <c r="F152" s="167"/>
      <c r="G152" s="326" t="e">
        <f>Tracking_SI5[[#This Row],[Còn lại so với ĐH]]/Tracking_SI5[[#This Row],[Số  lượng trên ĐH]]</f>
        <v>#DIV/0!</v>
      </c>
      <c r="H152" s="166">
        <v>288</v>
      </c>
      <c r="I152" s="608"/>
      <c r="J152" s="344"/>
      <c r="K152" s="133" t="s">
        <v>118</v>
      </c>
      <c r="L152" s="35"/>
    </row>
    <row r="153" spans="1:19" ht="21" hidden="1" customHeight="1">
      <c r="A153" s="57"/>
      <c r="B153" s="1" t="s">
        <v>213</v>
      </c>
      <c r="C153" s="152"/>
      <c r="D153" s="111"/>
      <c r="E153" s="30" t="s">
        <v>212</v>
      </c>
      <c r="F153" s="167"/>
      <c r="G153" s="326" t="e">
        <f>Tracking_SI5[[#This Row],[Còn lại so với ĐH]]/Tracking_SI5[[#This Row],[Số  lượng trên ĐH]]</f>
        <v>#DIV/0!</v>
      </c>
      <c r="H153" s="166"/>
      <c r="I153" s="608"/>
      <c r="J153" s="344"/>
      <c r="K153" s="133"/>
      <c r="L153" s="35"/>
    </row>
    <row r="154" spans="1:19" ht="21" hidden="1" customHeight="1">
      <c r="A154" s="57"/>
      <c r="B154" s="1" t="s">
        <v>213</v>
      </c>
      <c r="C154" s="152"/>
      <c r="D154" s="111"/>
      <c r="E154" s="30" t="s">
        <v>212</v>
      </c>
      <c r="F154" s="167"/>
      <c r="G154" s="326" t="e">
        <f>Tracking_SI5[[#This Row],[Còn lại so với ĐH]]/Tracking_SI5[[#This Row],[Số  lượng trên ĐH]]</f>
        <v>#DIV/0!</v>
      </c>
      <c r="H154" s="166"/>
      <c r="I154" s="608"/>
      <c r="J154" s="344"/>
      <c r="K154" s="133"/>
      <c r="L154" s="35"/>
    </row>
    <row r="155" spans="1:19" ht="21" hidden="1" customHeight="1">
      <c r="A155" s="57"/>
      <c r="B155" s="1" t="s">
        <v>213</v>
      </c>
      <c r="C155" s="152"/>
      <c r="D155" s="111"/>
      <c r="E155" s="30"/>
      <c r="F155" s="35"/>
      <c r="G155" s="326" t="e">
        <f>Tracking_SI5[[#This Row],[Còn lại so với ĐH]]/Tracking_SI5[[#This Row],[Số  lượng trên ĐH]]</f>
        <v>#DIV/0!</v>
      </c>
      <c r="H155" s="31"/>
      <c r="I155" s="188"/>
      <c r="J155" s="32"/>
      <c r="K155" s="133"/>
      <c r="L155" s="35"/>
    </row>
    <row r="156" spans="1:19" ht="21" customHeight="1">
      <c r="A156" s="58" t="s">
        <v>106</v>
      </c>
      <c r="B156" s="73" t="s">
        <v>272</v>
      </c>
      <c r="C156" s="74" t="s">
        <v>274</v>
      </c>
      <c r="D156" s="75"/>
      <c r="E156" s="75"/>
      <c r="F156" s="220"/>
      <c r="G156" t="e">
        <f>Tracking_SI5[[#This Row],[Còn lại so với ĐH]]/Tracking_SI5[[#This Row],[Số  lượng trên ĐH]]</f>
        <v>#DIV/0!</v>
      </c>
      <c r="H156" s="203"/>
      <c r="I156" s="77"/>
      <c r="J156" s="136"/>
      <c r="K156" s="77"/>
      <c r="L156" s="323"/>
    </row>
    <row r="157" spans="1:19" s="107" customFormat="1" ht="21" customHeight="1">
      <c r="A157" s="535"/>
      <c r="B157" s="535" t="s">
        <v>272</v>
      </c>
      <c r="C157" s="670"/>
      <c r="D157" s="113">
        <v>46154</v>
      </c>
      <c r="E157" s="28" t="s">
        <v>273</v>
      </c>
      <c r="F157" s="165">
        <v>15000</v>
      </c>
      <c r="G157" s="107">
        <f>Tracking_SI5[[#This Row],[Còn lại so với ĐH]]/Tracking_SI5[[#This Row],[Số  lượng trên ĐH]]</f>
        <v>-2.6466666666666666E-2</v>
      </c>
      <c r="H157" s="671">
        <f>SUM(H158:H163)</f>
        <v>15397</v>
      </c>
      <c r="I157" s="165">
        <f>Tracking_SI5[[#This Row],[Số  lượng trên ĐH]]-Tracking_SI5[[#This Row],[Số  lượng giao]]</f>
        <v>-397</v>
      </c>
      <c r="J157" s="138">
        <v>46500</v>
      </c>
      <c r="K157" s="149" t="s">
        <v>116</v>
      </c>
      <c r="L157" s="539"/>
      <c r="Q157" s="672"/>
      <c r="R157" s="672"/>
    </row>
    <row r="158" spans="1:19" ht="21" hidden="1" customHeight="1">
      <c r="A158" s="57"/>
      <c r="B158" s="421" t="s">
        <v>272</v>
      </c>
      <c r="C158" s="152"/>
      <c r="D158" s="108">
        <v>46168</v>
      </c>
      <c r="E158" s="30" t="s">
        <v>273</v>
      </c>
      <c r="F158" s="166"/>
      <c r="G158" t="e">
        <f>Tracking_SI5[[#This Row],[Còn lại so với ĐH]]/Tracking_SI5[[#This Row],[Số  lượng trên ĐH]]</f>
        <v>#DIV/0!</v>
      </c>
      <c r="H158" s="608">
        <v>2280</v>
      </c>
      <c r="I158" s="344"/>
      <c r="J158" s="133"/>
      <c r="K158" s="35" t="s">
        <v>118</v>
      </c>
      <c r="L158" s="326"/>
      <c r="Q158" s="9"/>
      <c r="R158" s="9"/>
    </row>
    <row r="159" spans="1:19" ht="21" hidden="1" customHeight="1">
      <c r="A159" s="57"/>
      <c r="B159" s="421" t="s">
        <v>272</v>
      </c>
      <c r="C159" s="152"/>
      <c r="D159" s="108">
        <v>46175</v>
      </c>
      <c r="E159" s="27" t="s">
        <v>273</v>
      </c>
      <c r="F159" s="166"/>
      <c r="G159" t="e">
        <f>Tracking_SI5[[#This Row],[Còn lại so với ĐH]]/Tracking_SI5[[#This Row],[Số  lượng trên ĐH]]</f>
        <v>#DIV/0!</v>
      </c>
      <c r="H159" s="608">
        <v>4077</v>
      </c>
      <c r="I159" s="344"/>
      <c r="J159" s="133"/>
      <c r="K159" s="35" t="s">
        <v>118</v>
      </c>
      <c r="L159" s="326"/>
      <c r="Q159" s="9"/>
      <c r="R159" s="9"/>
    </row>
    <row r="160" spans="1:19" ht="21" hidden="1" customHeight="1">
      <c r="A160" s="57"/>
      <c r="B160" s="421" t="s">
        <v>272</v>
      </c>
      <c r="C160" s="152"/>
      <c r="D160" s="108">
        <v>46184</v>
      </c>
      <c r="E160" s="27" t="s">
        <v>273</v>
      </c>
      <c r="F160" s="166"/>
      <c r="G160" t="e">
        <f>Tracking_SI5[[#This Row],[Còn lại so với ĐH]]/Tracking_SI5[[#This Row],[Số  lượng trên ĐH]]</f>
        <v>#DIV/0!</v>
      </c>
      <c r="H160" s="166">
        <v>3806</v>
      </c>
      <c r="I160" s="344"/>
      <c r="J160" s="133"/>
      <c r="K160" s="35" t="s">
        <v>118</v>
      </c>
      <c r="L160" s="326"/>
      <c r="Q160" s="9"/>
      <c r="R160" s="9"/>
    </row>
    <row r="161" spans="1:18" ht="21" hidden="1" customHeight="1">
      <c r="A161" s="57"/>
      <c r="B161" s="421" t="s">
        <v>272</v>
      </c>
      <c r="C161" s="152"/>
      <c r="D161" s="108">
        <v>46207</v>
      </c>
      <c r="E161" s="27" t="s">
        <v>273</v>
      </c>
      <c r="F161" s="31"/>
      <c r="G161" t="e">
        <f>Tracking_SI5[[#This Row],[Còn lại so với ĐH]]/Tracking_SI5[[#This Row],[Số  lượng trên ĐH]]</f>
        <v>#DIV/0!</v>
      </c>
      <c r="H161" s="31">
        <v>1279</v>
      </c>
      <c r="I161" s="32"/>
      <c r="J161" s="133"/>
      <c r="K161" s="35" t="s">
        <v>118</v>
      </c>
      <c r="L161" s="326"/>
      <c r="Q161" s="9"/>
      <c r="R161" s="9"/>
    </row>
    <row r="162" spans="1:18" ht="21" hidden="1" customHeight="1">
      <c r="A162" s="57"/>
      <c r="B162" s="421" t="s">
        <v>272</v>
      </c>
      <c r="C162" s="152"/>
      <c r="D162" s="108">
        <v>46218</v>
      </c>
      <c r="E162" s="27" t="s">
        <v>273</v>
      </c>
      <c r="F162" s="31"/>
      <c r="G162" t="e">
        <f>Tracking_SI5[[#This Row],[Còn lại so với ĐH]]/Tracking_SI5[[#This Row],[Số  lượng trên ĐH]]</f>
        <v>#DIV/0!</v>
      </c>
      <c r="H162" s="31">
        <v>1213</v>
      </c>
      <c r="I162" s="32"/>
      <c r="J162" s="133"/>
      <c r="K162" s="35" t="s">
        <v>118</v>
      </c>
      <c r="L162" s="326"/>
      <c r="Q162" s="9"/>
      <c r="R162" s="9"/>
    </row>
    <row r="163" spans="1:18" ht="21" hidden="1" customHeight="1">
      <c r="A163" s="57"/>
      <c r="B163" s="421" t="s">
        <v>272</v>
      </c>
      <c r="C163" s="152"/>
      <c r="D163" s="288">
        <v>46241</v>
      </c>
      <c r="E163" s="27" t="s">
        <v>273</v>
      </c>
      <c r="F163" s="31"/>
      <c r="G163" t="e">
        <f>Tracking_SI5[[#This Row],[Còn lại so với ĐH]]/Tracking_SI5[[#This Row],[Số  lượng trên ĐH]]</f>
        <v>#DIV/0!</v>
      </c>
      <c r="H163" s="31">
        <v>2742</v>
      </c>
      <c r="I163" s="32"/>
      <c r="J163" s="133"/>
      <c r="K163" s="35" t="s">
        <v>118</v>
      </c>
      <c r="L163" s="326"/>
      <c r="Q163" s="9"/>
      <c r="R163" s="9"/>
    </row>
    <row r="164" spans="1:18" ht="21" customHeight="1">
      <c r="A164" s="57"/>
      <c r="B164" s="421" t="s">
        <v>272</v>
      </c>
      <c r="C164" s="152"/>
      <c r="D164" s="341">
        <v>46183</v>
      </c>
      <c r="E164" s="342" t="s">
        <v>278</v>
      </c>
      <c r="F164" s="601">
        <v>10000</v>
      </c>
      <c r="G164">
        <f>Tracking_SI5[[#This Row],[Còn lại so với ĐH]]/Tracking_SI5[[#This Row],[Số  lượng trên ĐH]]</f>
        <v>3.0700000000000002E-2</v>
      </c>
      <c r="H164" s="601">
        <f>SUM(H165:H166)</f>
        <v>9693</v>
      </c>
      <c r="I164" s="343">
        <f>Tracking_SI5[[#This Row],[Số  lượng trên ĐH]]-Tracking_SI5[[#This Row],[Số  lượng giao]]</f>
        <v>307</v>
      </c>
      <c r="J164" s="373">
        <v>43700</v>
      </c>
      <c r="K164" s="35"/>
      <c r="L164" s="326"/>
      <c r="Q164" s="9"/>
      <c r="R164" s="9"/>
    </row>
    <row r="165" spans="1:18" ht="21" hidden="1" customHeight="1">
      <c r="A165" s="57"/>
      <c r="B165" s="421" t="s">
        <v>272</v>
      </c>
      <c r="C165" s="152"/>
      <c r="D165" s="111">
        <v>46244</v>
      </c>
      <c r="E165" s="30" t="s">
        <v>278</v>
      </c>
      <c r="F165" s="31"/>
      <c r="G165" t="e">
        <f>Tracking_SI5[[#This Row],[Còn lại so với ĐH]]/Tracking_SI5[[#This Row],[Số  lượng trên ĐH]]</f>
        <v>#DIV/0!</v>
      </c>
      <c r="H165" s="31">
        <v>5355</v>
      </c>
      <c r="I165" s="32"/>
      <c r="J165" s="133"/>
      <c r="K165" s="35"/>
      <c r="L165" s="326"/>
      <c r="Q165" s="9"/>
      <c r="R165" s="9"/>
    </row>
    <row r="166" spans="1:18" ht="21" hidden="1" customHeight="1">
      <c r="A166" s="57"/>
      <c r="B166" s="421" t="s">
        <v>272</v>
      </c>
      <c r="C166" s="152"/>
      <c r="D166" s="111">
        <v>46246</v>
      </c>
      <c r="E166" s="27" t="s">
        <v>278</v>
      </c>
      <c r="F166" s="35"/>
      <c r="G166" s="326" t="e">
        <f>Tracking_SI5[[#This Row],[Còn lại so với ĐH]]/Tracking_SI5[[#This Row],[Số  lượng trên ĐH]]</f>
        <v>#DIV/0!</v>
      </c>
      <c r="H166" s="31">
        <v>4338</v>
      </c>
      <c r="I166" s="188"/>
      <c r="J166" s="32"/>
      <c r="K166" s="133"/>
      <c r="L166" s="35"/>
    </row>
    <row r="167" spans="1:18" ht="21" hidden="1" customHeight="1">
      <c r="A167" s="57"/>
      <c r="B167" s="421" t="s">
        <v>349</v>
      </c>
      <c r="C167" s="234"/>
      <c r="D167" s="111"/>
      <c r="E167" s="27"/>
      <c r="F167" s="35"/>
      <c r="G167" s="763"/>
      <c r="H167" s="31"/>
      <c r="I167" s="188"/>
      <c r="J167" s="32"/>
      <c r="K167" s="133"/>
      <c r="L167" s="35"/>
      <c r="M167" s="326"/>
    </row>
    <row r="168" spans="1:18" ht="21" hidden="1" customHeight="1">
      <c r="A168" s="57"/>
      <c r="B168" s="421" t="s">
        <v>350</v>
      </c>
      <c r="C168" s="761"/>
      <c r="D168" s="111"/>
      <c r="E168" s="27"/>
      <c r="F168" s="35"/>
      <c r="G168" s="763"/>
      <c r="H168" s="31"/>
      <c r="I168" s="188"/>
      <c r="J168" s="32"/>
      <c r="K168" s="133"/>
      <c r="L168" s="35"/>
      <c r="M168" s="326"/>
    </row>
    <row r="169" spans="1:18" ht="21" hidden="1" customHeight="1">
      <c r="A169" s="57"/>
      <c r="B169" s="421" t="s">
        <v>351</v>
      </c>
      <c r="C169" s="792"/>
      <c r="D169" s="111"/>
      <c r="E169" s="27"/>
      <c r="F169" s="35"/>
      <c r="G169" s="763"/>
      <c r="H169" s="31"/>
      <c r="I169" s="188"/>
      <c r="J169" s="32"/>
      <c r="K169" s="133"/>
      <c r="L169" s="35"/>
      <c r="M169" s="326"/>
    </row>
    <row r="170" spans="1:18" ht="21" customHeight="1">
      <c r="A170" s="58" t="s">
        <v>106</v>
      </c>
      <c r="B170" s="73" t="s">
        <v>349</v>
      </c>
      <c r="C170" s="74" t="s">
        <v>352</v>
      </c>
      <c r="D170" s="75"/>
      <c r="E170" s="75"/>
      <c r="F170" s="220"/>
      <c r="G170" t="e">
        <f>Tracking_SI5[[#This Row],[Còn lại so với ĐH]]/Tracking_SI5[[#This Row],[Số  lượng trên ĐH]]</f>
        <v>#DIV/0!</v>
      </c>
      <c r="H170" s="203"/>
      <c r="I170" s="77"/>
      <c r="J170" s="136"/>
      <c r="K170" s="77"/>
      <c r="L170" s="35"/>
      <c r="M170" s="326"/>
    </row>
    <row r="171" spans="1:18" ht="21" customHeight="1">
      <c r="A171" s="57" t="s">
        <v>115</v>
      </c>
      <c r="B171" s="421" t="s">
        <v>349</v>
      </c>
      <c r="C171" s="152"/>
      <c r="D171" s="341">
        <v>46301</v>
      </c>
      <c r="E171" s="342" t="s">
        <v>353</v>
      </c>
      <c r="F171" s="601">
        <v>15000</v>
      </c>
      <c r="G171">
        <f>Tracking_SI5[[#This Row],[Còn lại so với ĐH]]/Tracking_SI5[[#This Row],[Số  lượng trên ĐH]]</f>
        <v>1</v>
      </c>
      <c r="H171" s="601">
        <f>SUM(H172:H175)</f>
        <v>0</v>
      </c>
      <c r="I171" s="343">
        <f>Tracking_SI5[[#This Row],[Số  lượng trên ĐH]]-Tracking_SI5[[#This Row],[Số  lượng giao]]</f>
        <v>15000</v>
      </c>
      <c r="J171" s="373"/>
      <c r="K171" s="133"/>
      <c r="L171" s="35"/>
      <c r="M171" s="326"/>
    </row>
    <row r="172" spans="1:18" ht="21" hidden="1" customHeight="1">
      <c r="A172" s="57"/>
      <c r="B172" s="421" t="s">
        <v>349</v>
      </c>
      <c r="C172" s="792"/>
      <c r="D172" s="111"/>
      <c r="E172" s="791" t="s">
        <v>353</v>
      </c>
      <c r="F172" s="167"/>
      <c r="G172" s="763"/>
      <c r="H172" s="166"/>
      <c r="I172" s="608"/>
      <c r="J172" s="32"/>
      <c r="K172" s="133"/>
      <c r="L172" s="35"/>
      <c r="M172" s="326"/>
    </row>
    <row r="173" spans="1:18" ht="21" hidden="1" customHeight="1">
      <c r="A173" s="57"/>
      <c r="B173" s="421" t="s">
        <v>349</v>
      </c>
      <c r="C173" s="792"/>
      <c r="D173" s="111"/>
      <c r="E173" s="791" t="s">
        <v>353</v>
      </c>
      <c r="F173" s="167"/>
      <c r="G173" s="763"/>
      <c r="H173" s="166"/>
      <c r="I173" s="608"/>
      <c r="J173" s="32"/>
      <c r="K173" s="133"/>
      <c r="L173" s="35"/>
      <c r="M173" s="326"/>
    </row>
    <row r="174" spans="1:18" ht="21" hidden="1" customHeight="1">
      <c r="A174" s="57"/>
      <c r="B174" s="421" t="s">
        <v>349</v>
      </c>
      <c r="C174" s="792"/>
      <c r="D174" s="111"/>
      <c r="E174" s="791" t="s">
        <v>353</v>
      </c>
      <c r="F174" s="167"/>
      <c r="G174" s="763"/>
      <c r="H174" s="166"/>
      <c r="I174" s="608"/>
      <c r="J174" s="32"/>
      <c r="K174" s="133"/>
      <c r="L174" s="35"/>
      <c r="M174" s="326"/>
    </row>
    <row r="175" spans="1:18" ht="21" hidden="1" customHeight="1">
      <c r="A175" s="57"/>
      <c r="B175" s="421" t="s">
        <v>349</v>
      </c>
      <c r="C175" s="792"/>
      <c r="D175" s="111"/>
      <c r="E175" s="791" t="s">
        <v>353</v>
      </c>
      <c r="F175" s="793"/>
      <c r="G175" s="763"/>
      <c r="H175" s="788"/>
      <c r="I175" s="794"/>
      <c r="J175" s="32"/>
      <c r="K175" s="133"/>
      <c r="L175" s="35"/>
      <c r="M175" s="326"/>
    </row>
    <row r="176" spans="1:18" ht="21" customHeight="1">
      <c r="A176" s="58" t="s">
        <v>106</v>
      </c>
      <c r="B176" s="73" t="s">
        <v>36</v>
      </c>
      <c r="C176" s="74" t="s">
        <v>300</v>
      </c>
      <c r="D176" s="75"/>
      <c r="E176" s="75"/>
      <c r="F176" s="76"/>
      <c r="G176" s="726" t="e">
        <f>Tracking_SI5[[#This Row],[Còn lại so với ĐH]]/Tracking_SI5[[#This Row],[Số  lượng trên ĐH]]</f>
        <v>#DIV/0!</v>
      </c>
      <c r="H176" s="220"/>
      <c r="I176" s="203"/>
      <c r="J176" s="77"/>
      <c r="K176" s="136"/>
      <c r="L176" s="77"/>
    </row>
    <row r="177" spans="1:12" s="16" customFormat="1" ht="20.25" customHeight="1">
      <c r="A177" s="289"/>
      <c r="B177" s="289" t="s">
        <v>36</v>
      </c>
      <c r="C177" s="596"/>
      <c r="D177" s="111">
        <v>46077</v>
      </c>
      <c r="E177" s="25" t="s">
        <v>209</v>
      </c>
      <c r="F177" s="163">
        <v>10000</v>
      </c>
      <c r="G177" s="597">
        <f>Tracking_SI5[[#This Row],[Còn lại so với ĐH]]/Tracking_SI5[[#This Row],[Số  lượng trên ĐH]]</f>
        <v>0</v>
      </c>
      <c r="H177" s="163">
        <f>SUM(H178)</f>
        <v>10000</v>
      </c>
      <c r="I177" s="191">
        <f>Tracking_SI5[[#This Row],[Số  lượng trên ĐH]]-Tracking_SI5[[#This Row],[Số  lượng giao]]</f>
        <v>0</v>
      </c>
      <c r="J177" s="37"/>
      <c r="K177" s="357" t="s">
        <v>116</v>
      </c>
      <c r="L177" s="470"/>
    </row>
    <row r="178" spans="1:12" ht="21" hidden="1" customHeight="1">
      <c r="A178" s="57"/>
      <c r="B178" s="57" t="s">
        <v>36</v>
      </c>
      <c r="C178" s="319"/>
      <c r="D178" s="30" t="s">
        <v>262</v>
      </c>
      <c r="E178" s="30" t="s">
        <v>209</v>
      </c>
      <c r="F178" s="164"/>
      <c r="G178" s="323" t="e">
        <f>Tracking_SI5[[#This Row],[Còn lại so với ĐH]]/Tracking_SI5[[#This Row],[Số  lượng trên ĐH]]</f>
        <v>#DIV/0!</v>
      </c>
      <c r="H178" s="164">
        <v>10000</v>
      </c>
      <c r="I178" s="323"/>
      <c r="J178" s="127"/>
      <c r="K178" s="323" t="s">
        <v>118</v>
      </c>
      <c r="L178" s="127"/>
    </row>
    <row r="179" spans="1:12" ht="21" customHeight="1">
      <c r="A179" s="57"/>
      <c r="B179" s="421" t="s">
        <v>36</v>
      </c>
      <c r="C179" s="319"/>
      <c r="D179" s="341">
        <v>46140</v>
      </c>
      <c r="E179" s="342" t="s">
        <v>263</v>
      </c>
      <c r="F179" s="343">
        <v>20000</v>
      </c>
      <c r="G179" s="697">
        <f>Tracking_SI5[[#This Row],[Còn lại so với ĐH]]/Tracking_SI5[[#This Row],[Số  lượng trên ĐH]]</f>
        <v>1.6000000000000001E-3</v>
      </c>
      <c r="H179" s="343">
        <f>SUM(H180:H186)</f>
        <v>19968</v>
      </c>
      <c r="I179" s="378">
        <f>Tracking_SI5[[#This Row],[Số  lượng trên ĐH]]-Tracking_SI5[[#This Row],[Số  lượng giao]]</f>
        <v>32</v>
      </c>
      <c r="J179" s="343"/>
      <c r="K179" s="373" t="s">
        <v>116</v>
      </c>
      <c r="L179" s="26"/>
    </row>
    <row r="180" spans="1:12" ht="21" hidden="1" customHeight="1">
      <c r="A180" s="57"/>
      <c r="B180" s="57" t="s">
        <v>36</v>
      </c>
      <c r="C180" s="319"/>
      <c r="D180" s="108">
        <v>46141</v>
      </c>
      <c r="E180" s="27" t="s">
        <v>263</v>
      </c>
      <c r="F180" s="164"/>
      <c r="G180" s="323" t="e">
        <f>Tracking_SI5[[#This Row],[Còn lại so với ĐH]]/Tracking_SI5[[#This Row],[Số  lượng trên ĐH]]</f>
        <v>#DIV/0!</v>
      </c>
      <c r="H180" s="164">
        <v>3408</v>
      </c>
      <c r="I180" s="609"/>
      <c r="J180" s="618"/>
      <c r="K180" s="450" t="s">
        <v>118</v>
      </c>
      <c r="L180" s="26"/>
    </row>
    <row r="181" spans="1:12" ht="21" hidden="1" customHeight="1">
      <c r="A181" s="57"/>
      <c r="B181" s="57" t="s">
        <v>36</v>
      </c>
      <c r="C181" s="319"/>
      <c r="D181" s="108">
        <v>46148</v>
      </c>
      <c r="E181" s="27" t="s">
        <v>263</v>
      </c>
      <c r="F181" s="164"/>
      <c r="G181" s="323" t="e">
        <f>Tracking_SI5[[#This Row],[Còn lại so với ĐH]]/Tracking_SI5[[#This Row],[Số  lượng trên ĐH]]</f>
        <v>#DIV/0!</v>
      </c>
      <c r="H181" s="164">
        <v>1049</v>
      </c>
      <c r="I181" s="620"/>
      <c r="J181" s="164"/>
      <c r="K181" s="450" t="s">
        <v>118</v>
      </c>
      <c r="L181" s="26"/>
    </row>
    <row r="182" spans="1:12" ht="21" hidden="1" customHeight="1">
      <c r="A182" s="57"/>
      <c r="B182" s="57" t="s">
        <v>36</v>
      </c>
      <c r="C182" s="319"/>
      <c r="D182" s="108">
        <v>46151</v>
      </c>
      <c r="E182" s="27" t="s">
        <v>263</v>
      </c>
      <c r="F182" s="164"/>
      <c r="G182" s="323" t="e">
        <f>Tracking_SI5[[#This Row],[Còn lại so với ĐH]]/Tracking_SI5[[#This Row],[Số  lượng trên ĐH]]</f>
        <v>#DIV/0!</v>
      </c>
      <c r="H182" s="164">
        <v>2883</v>
      </c>
      <c r="I182" s="609"/>
      <c r="J182" s="618"/>
      <c r="K182" s="450" t="s">
        <v>118</v>
      </c>
      <c r="L182" s="26"/>
    </row>
    <row r="183" spans="1:12" ht="21" hidden="1" customHeight="1">
      <c r="A183" s="57"/>
      <c r="B183" s="57" t="s">
        <v>36</v>
      </c>
      <c r="C183" s="319"/>
      <c r="D183" s="108">
        <v>46153</v>
      </c>
      <c r="E183" s="27" t="s">
        <v>263</v>
      </c>
      <c r="F183" s="164"/>
      <c r="G183" s="323" t="e">
        <f>Tracking_SI5[[#This Row],[Còn lại so với ĐH]]/Tracking_SI5[[#This Row],[Số  lượng trên ĐH]]</f>
        <v>#DIV/0!</v>
      </c>
      <c r="H183" s="164">
        <v>2370</v>
      </c>
      <c r="I183" s="609"/>
      <c r="J183" s="618"/>
      <c r="K183" s="450" t="s">
        <v>118</v>
      </c>
      <c r="L183" s="26"/>
    </row>
    <row r="184" spans="1:12" ht="21" hidden="1" customHeight="1">
      <c r="A184" s="57"/>
      <c r="B184" s="57" t="s">
        <v>36</v>
      </c>
      <c r="C184" s="319"/>
      <c r="D184" s="108">
        <v>46157</v>
      </c>
      <c r="E184" s="27" t="s">
        <v>263</v>
      </c>
      <c r="F184" s="164"/>
      <c r="G184" s="323" t="e">
        <f>Tracking_SI5[[#This Row],[Còn lại so với ĐH]]/Tracking_SI5[[#This Row],[Số  lượng trên ĐH]]</f>
        <v>#DIV/0!</v>
      </c>
      <c r="H184" s="164">
        <v>1284</v>
      </c>
      <c r="I184" s="609"/>
      <c r="J184" s="618"/>
      <c r="K184" s="450" t="s">
        <v>118</v>
      </c>
      <c r="L184" s="26"/>
    </row>
    <row r="185" spans="1:12" ht="21" hidden="1" customHeight="1">
      <c r="A185" s="57"/>
      <c r="B185" s="57" t="s">
        <v>36</v>
      </c>
      <c r="C185" s="319"/>
      <c r="D185" s="108">
        <v>46161</v>
      </c>
      <c r="E185" s="27" t="s">
        <v>263</v>
      </c>
      <c r="F185" s="164"/>
      <c r="G185" s="323" t="e">
        <f>Tracking_SI5[[#This Row],[Còn lại so với ĐH]]/Tracking_SI5[[#This Row],[Số  lượng trên ĐH]]</f>
        <v>#DIV/0!</v>
      </c>
      <c r="H185" s="164">
        <v>3998</v>
      </c>
      <c r="I185" s="609"/>
      <c r="J185" s="618"/>
      <c r="K185" s="450" t="s">
        <v>118</v>
      </c>
      <c r="L185" s="26"/>
    </row>
    <row r="186" spans="1:12" ht="21" hidden="1" customHeight="1">
      <c r="A186" s="57"/>
      <c r="B186" s="57" t="s">
        <v>36</v>
      </c>
      <c r="C186" s="319"/>
      <c r="D186" s="108">
        <v>46168</v>
      </c>
      <c r="E186" s="27" t="s">
        <v>263</v>
      </c>
      <c r="F186" s="164"/>
      <c r="G186" s="323" t="e">
        <f>Tracking_SI5[[#This Row],[Còn lại so với ĐH]]/Tracking_SI5[[#This Row],[Số  lượng trên ĐH]]</f>
        <v>#DIV/0!</v>
      </c>
      <c r="H186" s="619">
        <v>4976</v>
      </c>
      <c r="I186" s="609"/>
      <c r="J186" s="37"/>
      <c r="K186" s="450" t="s">
        <v>118</v>
      </c>
      <c r="L186" s="26"/>
    </row>
    <row r="187" spans="1:12" ht="21" customHeight="1">
      <c r="A187" s="57"/>
      <c r="B187" s="421" t="s">
        <v>36</v>
      </c>
      <c r="C187" s="319"/>
      <c r="D187" s="111">
        <v>46144</v>
      </c>
      <c r="E187" s="25" t="s">
        <v>267</v>
      </c>
      <c r="F187" s="163">
        <v>25000</v>
      </c>
      <c r="G187" s="597">
        <f>Tracking_SI5[[#This Row],[Còn lại so với ĐH]]/Tracking_SI5[[#This Row],[Số  lượng trên ĐH]]</f>
        <v>-6.9199999999999998E-2</v>
      </c>
      <c r="H187" s="163">
        <f>SUM(H188:H194)</f>
        <v>26730</v>
      </c>
      <c r="I187" s="605">
        <f>Tracking_SI5[[#This Row],[Số  lượng trên ĐH]]-Tracking_SI5[[#This Row],[Số  lượng giao]]</f>
        <v>-1730</v>
      </c>
      <c r="J187" s="130">
        <v>46900</v>
      </c>
      <c r="K187" s="632" t="s">
        <v>343</v>
      </c>
      <c r="L187" s="32"/>
    </row>
    <row r="188" spans="1:12" ht="21" hidden="1" customHeight="1">
      <c r="A188" s="57"/>
      <c r="B188" s="57" t="s">
        <v>36</v>
      </c>
      <c r="C188" s="319"/>
      <c r="D188" s="108">
        <v>46184</v>
      </c>
      <c r="E188" s="30" t="s">
        <v>267</v>
      </c>
      <c r="F188" s="164"/>
      <c r="G188" s="323" t="e">
        <f>Tracking_SI5[[#This Row],[Còn lại so với ĐH]]/Tracking_SI5[[#This Row],[Số  lượng trên ĐH]]</f>
        <v>#DIV/0!</v>
      </c>
      <c r="H188" s="164">
        <v>11831</v>
      </c>
      <c r="I188" s="609"/>
      <c r="J188" s="618"/>
      <c r="K188" s="185" t="s">
        <v>118</v>
      </c>
      <c r="L188" s="26"/>
    </row>
    <row r="189" spans="1:12" ht="21" hidden="1" customHeight="1">
      <c r="A189" s="57"/>
      <c r="B189" s="57" t="s">
        <v>36</v>
      </c>
      <c r="C189" s="319"/>
      <c r="D189" s="108">
        <v>46185</v>
      </c>
      <c r="E189" s="30" t="s">
        <v>267</v>
      </c>
      <c r="F189" s="164"/>
      <c r="G189" s="323" t="e">
        <f>Tracking_SI5[[#This Row],[Còn lại so với ĐH]]/Tracking_SI5[[#This Row],[Số  lượng trên ĐH]]</f>
        <v>#DIV/0!</v>
      </c>
      <c r="H189" s="619">
        <v>2629</v>
      </c>
      <c r="I189" s="609"/>
      <c r="J189" s="618"/>
      <c r="K189" s="185" t="s">
        <v>118</v>
      </c>
      <c r="L189" s="26"/>
    </row>
    <row r="190" spans="1:12" ht="21" hidden="1" customHeight="1">
      <c r="A190" s="57"/>
      <c r="B190" s="57" t="s">
        <v>36</v>
      </c>
      <c r="C190" s="319"/>
      <c r="D190" s="108">
        <v>46200</v>
      </c>
      <c r="E190" s="30" t="s">
        <v>267</v>
      </c>
      <c r="F190" s="164"/>
      <c r="G190" s="323" t="e">
        <f>Tracking_SI5[[#This Row],[Còn lại so với ĐH]]/Tracking_SI5[[#This Row],[Số  lượng trên ĐH]]</f>
        <v>#DIV/0!</v>
      </c>
      <c r="H190" s="619">
        <v>3170</v>
      </c>
      <c r="I190" s="609"/>
      <c r="J190" s="618"/>
      <c r="K190" s="185" t="s">
        <v>118</v>
      </c>
      <c r="L190" s="26"/>
    </row>
    <row r="191" spans="1:12" ht="21" hidden="1" customHeight="1">
      <c r="A191" s="57"/>
      <c r="B191" s="57" t="s">
        <v>36</v>
      </c>
      <c r="C191" s="319"/>
      <c r="D191" s="108">
        <v>46207</v>
      </c>
      <c r="E191" s="30" t="s">
        <v>267</v>
      </c>
      <c r="F191" s="164"/>
      <c r="G191" s="323" t="e">
        <f>Tracking_SI5[[#This Row],[Còn lại so với ĐH]]/Tracking_SI5[[#This Row],[Số  lượng trên ĐH]]</f>
        <v>#DIV/0!</v>
      </c>
      <c r="H191" s="619">
        <v>2657</v>
      </c>
      <c r="I191" s="609"/>
      <c r="J191" s="618"/>
      <c r="K191" s="185" t="s">
        <v>118</v>
      </c>
      <c r="L191" s="26"/>
    </row>
    <row r="192" spans="1:12" ht="21" hidden="1" customHeight="1">
      <c r="A192" s="57"/>
      <c r="B192" s="57" t="s">
        <v>36</v>
      </c>
      <c r="C192" s="319"/>
      <c r="D192" s="108">
        <v>46218</v>
      </c>
      <c r="E192" s="30" t="s">
        <v>267</v>
      </c>
      <c r="F192" s="164"/>
      <c r="G192" s="323" t="e">
        <f>Tracking_SI5[[#This Row],[Còn lại so với ĐH]]/Tracking_SI5[[#This Row],[Số  lượng trên ĐH]]</f>
        <v>#DIV/0!</v>
      </c>
      <c r="H192" s="619">
        <v>1243</v>
      </c>
      <c r="I192" s="609"/>
      <c r="J192" s="618"/>
      <c r="K192" s="185" t="s">
        <v>118</v>
      </c>
      <c r="L192" s="26"/>
    </row>
    <row r="193" spans="1:13" ht="21" hidden="1" customHeight="1">
      <c r="A193" s="57"/>
      <c r="B193" s="57" t="s">
        <v>36</v>
      </c>
      <c r="C193" s="319"/>
      <c r="D193" s="108">
        <v>46260</v>
      </c>
      <c r="E193" s="30" t="s">
        <v>267</v>
      </c>
      <c r="F193" s="164"/>
      <c r="G193" s="323" t="e">
        <f>Tracking_SI5[[#This Row],[Còn lại so với ĐH]]/Tracking_SI5[[#This Row],[Số  lượng trên ĐH]]</f>
        <v>#DIV/0!</v>
      </c>
      <c r="H193" s="619">
        <v>3069</v>
      </c>
      <c r="I193" s="609"/>
      <c r="J193" s="618"/>
      <c r="K193" s="185" t="s">
        <v>118</v>
      </c>
      <c r="L193" s="26"/>
    </row>
    <row r="194" spans="1:13" ht="21" hidden="1" customHeight="1">
      <c r="A194" s="57"/>
      <c r="B194" s="57" t="s">
        <v>36</v>
      </c>
      <c r="C194" s="319"/>
      <c r="D194" s="108">
        <v>46276</v>
      </c>
      <c r="E194" s="30" t="s">
        <v>267</v>
      </c>
      <c r="F194" s="164"/>
      <c r="G194" s="323" t="e">
        <f>Tracking_SI5[[#This Row],[Còn lại so với ĐH]]/Tracking_SI5[[#This Row],[Số  lượng trên ĐH]]</f>
        <v>#DIV/0!</v>
      </c>
      <c r="H194" s="619">
        <v>2131</v>
      </c>
      <c r="I194" s="609"/>
      <c r="J194" s="618"/>
      <c r="K194" s="185" t="s">
        <v>118</v>
      </c>
      <c r="L194" s="26"/>
    </row>
    <row r="195" spans="1:13" ht="21" customHeight="1">
      <c r="A195" s="57" t="s">
        <v>115</v>
      </c>
      <c r="B195" s="421" t="s">
        <v>36</v>
      </c>
      <c r="C195" s="319"/>
      <c r="D195" s="341">
        <v>46149</v>
      </c>
      <c r="E195" s="342" t="s">
        <v>271</v>
      </c>
      <c r="F195" s="343">
        <v>25000</v>
      </c>
      <c r="G195" s="697">
        <f>Tracking_SI5[[#This Row],[Còn lại so với ĐH]]/Tracking_SI5[[#This Row],[Số  lượng trên ĐH]]</f>
        <v>4.6080000000000003E-2</v>
      </c>
      <c r="H195" s="343">
        <f>SUM(H196:H199)</f>
        <v>23848</v>
      </c>
      <c r="I195" s="378">
        <f>Tracking_SI5[[#This Row],[Số  lượng trên ĐH]]-Tracking_SI5[[#This Row],[Số  lượng giao]]</f>
        <v>1152</v>
      </c>
      <c r="J195" s="601">
        <v>46900</v>
      </c>
      <c r="K195" s="601"/>
      <c r="L195" s="26"/>
    </row>
    <row r="196" spans="1:13" ht="21" hidden="1" customHeight="1">
      <c r="A196" s="57"/>
      <c r="B196" s="57" t="s">
        <v>36</v>
      </c>
      <c r="C196" s="319"/>
      <c r="D196" s="108">
        <v>46291</v>
      </c>
      <c r="E196" s="30" t="s">
        <v>271</v>
      </c>
      <c r="F196" s="164"/>
      <c r="G196" s="323" t="e">
        <f>Tracking_SI5[[#This Row],[Còn lại so với ĐH]]/Tracking_SI5[[#This Row],[Số  lượng trên ĐH]]</f>
        <v>#DIV/0!</v>
      </c>
      <c r="H196" s="619">
        <v>3878</v>
      </c>
      <c r="I196" s="609"/>
      <c r="J196" s="618"/>
      <c r="K196" s="185"/>
      <c r="L196" s="26"/>
    </row>
    <row r="197" spans="1:13" ht="21" hidden="1" customHeight="1">
      <c r="A197" s="57"/>
      <c r="B197" s="57" t="s">
        <v>36</v>
      </c>
      <c r="C197" s="319"/>
      <c r="D197" s="108">
        <v>46294</v>
      </c>
      <c r="E197" s="30" t="s">
        <v>271</v>
      </c>
      <c r="F197" s="164"/>
      <c r="G197" s="323" t="e">
        <f>Tracking_SI5[[#This Row],[Còn lại so với ĐH]]/Tracking_SI5[[#This Row],[Số  lượng trên ĐH]]</f>
        <v>#DIV/0!</v>
      </c>
      <c r="H197" s="619">
        <v>2180</v>
      </c>
      <c r="I197" s="609"/>
      <c r="J197" s="618"/>
      <c r="K197" s="185"/>
      <c r="L197" s="26"/>
    </row>
    <row r="198" spans="1:13" ht="21" hidden="1" customHeight="1">
      <c r="A198" s="57"/>
      <c r="B198" s="57" t="s">
        <v>36</v>
      </c>
      <c r="C198" s="319"/>
      <c r="D198" s="108">
        <v>46300</v>
      </c>
      <c r="E198" s="30" t="s">
        <v>271</v>
      </c>
      <c r="F198" s="164"/>
      <c r="G198" s="323" t="e">
        <f>Tracking_SI5[[#This Row],[Còn lại so với ĐH]]/Tracking_SI5[[#This Row],[Số  lượng trên ĐH]]</f>
        <v>#DIV/0!</v>
      </c>
      <c r="H198" s="619">
        <v>17180</v>
      </c>
      <c r="I198" s="609"/>
      <c r="J198" s="618"/>
      <c r="K198" s="185"/>
      <c r="L198" s="26"/>
    </row>
    <row r="199" spans="1:13" ht="21" hidden="1" customHeight="1">
      <c r="A199" s="57" t="s">
        <v>118</v>
      </c>
      <c r="B199" s="57" t="s">
        <v>36</v>
      </c>
      <c r="C199" s="319"/>
      <c r="D199" s="108">
        <v>46302</v>
      </c>
      <c r="E199" s="30" t="s">
        <v>271</v>
      </c>
      <c r="F199" s="169"/>
      <c r="G199" s="323" t="e">
        <f>Tracking_SI5[[#This Row],[Còn lại so với ĐH]]/Tracking_SI5[[#This Row],[Số  lượng trên ĐH]]</f>
        <v>#DIV/0!</v>
      </c>
      <c r="H199" s="164">
        <v>610</v>
      </c>
      <c r="I199" s="619"/>
      <c r="J199" s="618"/>
      <c r="K199" s="139"/>
      <c r="L199" s="26"/>
    </row>
    <row r="200" spans="1:13" ht="21" hidden="1" customHeight="1">
      <c r="A200" s="57"/>
      <c r="B200" s="57" t="s">
        <v>36</v>
      </c>
      <c r="C200" s="785"/>
      <c r="D200" s="341">
        <v>46149</v>
      </c>
      <c r="E200" s="342" t="s">
        <v>271</v>
      </c>
      <c r="F200" s="343">
        <v>20000</v>
      </c>
      <c r="G200" s="697">
        <f>Tracking_SI5[[#This Row],[Còn lại so với ĐH]]/Tracking_SI5[[#This Row],[Số  lượng trên ĐH]]</f>
        <v>1</v>
      </c>
      <c r="H200" s="343">
        <f>SUM(H201:H205)</f>
        <v>0</v>
      </c>
      <c r="I200" s="378">
        <f>Tracking_SI5[[#This Row],[Số  lượng trên ĐH]]-Tracking_SI5[[#This Row],[Số  lượng giao]]</f>
        <v>20000</v>
      </c>
      <c r="J200" s="601"/>
      <c r="K200" s="601"/>
      <c r="L200" s="26"/>
      <c r="M200" s="326"/>
    </row>
    <row r="201" spans="1:13" ht="21" hidden="1" customHeight="1">
      <c r="A201" s="57"/>
      <c r="B201" s="57" t="s">
        <v>36</v>
      </c>
      <c r="C201" s="786"/>
      <c r="D201" s="215"/>
      <c r="E201" s="791" t="s">
        <v>271</v>
      </c>
      <c r="F201" s="349"/>
      <c r="G201" s="763"/>
      <c r="H201" s="166"/>
      <c r="I201" s="623"/>
      <c r="J201" s="610"/>
      <c r="K201" s="133"/>
      <c r="L201" s="26"/>
      <c r="M201" s="326"/>
    </row>
    <row r="202" spans="1:13" ht="21" hidden="1" customHeight="1">
      <c r="A202" s="57"/>
      <c r="B202" s="57" t="s">
        <v>36</v>
      </c>
      <c r="C202" s="786"/>
      <c r="D202" s="215"/>
      <c r="E202" s="791" t="s">
        <v>271</v>
      </c>
      <c r="F202" s="349"/>
      <c r="G202" s="763"/>
      <c r="H202" s="166"/>
      <c r="I202" s="623"/>
      <c r="J202" s="610"/>
      <c r="K202" s="133"/>
      <c r="L202" s="26"/>
      <c r="M202" s="326"/>
    </row>
    <row r="203" spans="1:13" ht="21" hidden="1" customHeight="1">
      <c r="A203" s="57"/>
      <c r="B203" s="57" t="s">
        <v>36</v>
      </c>
      <c r="C203" s="786"/>
      <c r="D203" s="215"/>
      <c r="E203" s="791" t="s">
        <v>271</v>
      </c>
      <c r="F203" s="349"/>
      <c r="G203" s="763"/>
      <c r="H203" s="166"/>
      <c r="I203" s="623"/>
      <c r="J203" s="610"/>
      <c r="K203" s="133"/>
      <c r="L203" s="26"/>
      <c r="M203" s="326"/>
    </row>
    <row r="204" spans="1:13" ht="21" hidden="1" customHeight="1">
      <c r="A204" s="57"/>
      <c r="B204" s="57" t="s">
        <v>36</v>
      </c>
      <c r="C204" s="46"/>
      <c r="D204" s="215"/>
      <c r="E204" s="791" t="s">
        <v>271</v>
      </c>
      <c r="F204" s="349"/>
      <c r="G204" s="763"/>
      <c r="H204" s="166"/>
      <c r="I204" s="623"/>
      <c r="J204" s="610"/>
      <c r="K204" s="133"/>
      <c r="L204" s="26"/>
      <c r="M204" s="326"/>
    </row>
    <row r="205" spans="1:13" ht="21" hidden="1" customHeight="1">
      <c r="A205" s="57"/>
      <c r="B205" s="57" t="s">
        <v>36</v>
      </c>
      <c r="C205" s="786"/>
      <c r="D205" s="215"/>
      <c r="E205" s="791" t="s">
        <v>271</v>
      </c>
      <c r="F205" s="787"/>
      <c r="G205" s="763"/>
      <c r="H205" s="788"/>
      <c r="I205" s="789"/>
      <c r="J205" s="790"/>
      <c r="K205" s="133"/>
      <c r="L205" s="26"/>
      <c r="M205" s="326"/>
    </row>
    <row r="206" spans="1:13" ht="21" customHeight="1">
      <c r="A206" s="58" t="s">
        <v>106</v>
      </c>
      <c r="B206" s="73" t="s">
        <v>165</v>
      </c>
      <c r="C206" s="74" t="s">
        <v>167</v>
      </c>
      <c r="D206" s="117"/>
      <c r="E206" s="75"/>
      <c r="F206" s="76"/>
      <c r="G206" s="323" t="e">
        <f>Tracking_SI5[[#This Row],[Còn lại so với ĐH]]/Tracking_SI5[[#This Row],[Số  lượng trên ĐH]]</f>
        <v>#DIV/0!</v>
      </c>
      <c r="H206" s="220"/>
      <c r="I206" s="204"/>
      <c r="J206" s="77"/>
      <c r="K206" s="136"/>
      <c r="L206" s="77"/>
    </row>
    <row r="207" spans="1:13" ht="21" hidden="1" customHeight="1">
      <c r="A207" s="57"/>
      <c r="B207" s="57" t="s">
        <v>165</v>
      </c>
      <c r="C207" s="46"/>
      <c r="D207" s="116"/>
      <c r="E207" s="30"/>
      <c r="F207" s="166"/>
      <c r="G207" s="323" t="e">
        <f>Tracking_SI5[[#This Row],[Còn lại so với ĐH]]/Tracking_SI5[[#This Row],[Số  lượng trên ĐH]]</f>
        <v>#DIV/0!</v>
      </c>
      <c r="H207" s="164"/>
      <c r="I207" s="606"/>
      <c r="J207" s="344"/>
      <c r="K207" s="127"/>
      <c r="L207" s="32"/>
    </row>
    <row r="208" spans="1:13" ht="21" hidden="1" customHeight="1">
      <c r="A208" s="57"/>
      <c r="B208" s="57" t="s">
        <v>165</v>
      </c>
      <c r="C208" s="46"/>
      <c r="D208" s="116"/>
      <c r="E208" s="30"/>
      <c r="F208" s="166"/>
      <c r="G208" s="323" t="e">
        <f>Tracking_SI5[[#This Row],[Còn lại so với ĐH]]/Tracking_SI5[[#This Row],[Số  lượng trên ĐH]]</f>
        <v>#DIV/0!</v>
      </c>
      <c r="H208" s="164"/>
      <c r="I208" s="606"/>
      <c r="J208" s="344"/>
      <c r="K208" s="127"/>
      <c r="L208" s="32"/>
    </row>
    <row r="209" spans="1:12" ht="21" hidden="1" customHeight="1">
      <c r="A209" s="57"/>
      <c r="B209" s="57" t="s">
        <v>165</v>
      </c>
      <c r="C209" s="46"/>
      <c r="D209" s="116"/>
      <c r="E209" s="30"/>
      <c r="F209" s="166"/>
      <c r="G209" s="323" t="e">
        <f>Tracking_SI5[[#This Row],[Còn lại so với ĐH]]/Tracking_SI5[[#This Row],[Số  lượng trên ĐH]]</f>
        <v>#DIV/0!</v>
      </c>
      <c r="H209" s="164"/>
      <c r="I209" s="619"/>
      <c r="J209" s="344"/>
      <c r="K209" s="127"/>
      <c r="L209" s="32"/>
    </row>
    <row r="210" spans="1:12" ht="21" hidden="1" customHeight="1">
      <c r="A210" s="57"/>
      <c r="B210" s="57" t="s">
        <v>165</v>
      </c>
      <c r="C210" s="46"/>
      <c r="D210" s="154"/>
      <c r="E210" s="155"/>
      <c r="F210" s="168"/>
      <c r="G210" s="326" t="e">
        <f>Tracking_SI5[[#This Row],[Còn lại so với ĐH]]/Tracking_SI5[[#This Row],[Số  lượng trên ĐH]]</f>
        <v>#DIV/0!</v>
      </c>
      <c r="H210" s="168"/>
      <c r="I210" s="621"/>
      <c r="J210" s="622"/>
      <c r="K210" s="130"/>
      <c r="L210" s="24"/>
    </row>
    <row r="211" spans="1:12" ht="21" hidden="1" customHeight="1">
      <c r="A211" s="57"/>
      <c r="B211" s="57" t="s">
        <v>165</v>
      </c>
      <c r="C211" s="46"/>
      <c r="D211" s="116"/>
      <c r="E211" s="30"/>
      <c r="F211" s="166"/>
      <c r="G211" s="326" t="e">
        <f>Tracking_SI5[[#This Row],[Còn lại so với ĐH]]/Tracking_SI5[[#This Row],[Số  lượng trên ĐH]]</f>
        <v>#DIV/0!</v>
      </c>
      <c r="H211" s="164"/>
      <c r="I211" s="354"/>
      <c r="J211" s="344"/>
      <c r="K211" s="133"/>
      <c r="L211" s="32"/>
    </row>
    <row r="212" spans="1:12" ht="21" hidden="1" customHeight="1">
      <c r="A212" s="57"/>
      <c r="B212" s="57" t="s">
        <v>165</v>
      </c>
      <c r="C212" s="46"/>
      <c r="D212" s="116"/>
      <c r="E212" s="30"/>
      <c r="F212" s="166"/>
      <c r="G212" s="326" t="e">
        <f>Tracking_SI5[[#This Row],[Còn lại so với ĐH]]/Tracking_SI5[[#This Row],[Số  lượng trên ĐH]]</f>
        <v>#DIV/0!</v>
      </c>
      <c r="H212" s="164"/>
      <c r="I212" s="619"/>
      <c r="J212" s="344"/>
      <c r="K212" s="133"/>
      <c r="L212" s="32"/>
    </row>
    <row r="213" spans="1:12" ht="21" hidden="1" customHeight="1">
      <c r="A213" s="57"/>
      <c r="B213" s="57" t="s">
        <v>165</v>
      </c>
      <c r="C213" s="46"/>
      <c r="D213" s="116"/>
      <c r="E213" s="30"/>
      <c r="F213" s="166"/>
      <c r="G213" s="326" t="e">
        <f>Tracking_SI5[[#This Row],[Còn lại so với ĐH]]/Tracking_SI5[[#This Row],[Số  lượng trên ĐH]]</f>
        <v>#DIV/0!</v>
      </c>
      <c r="H213" s="164"/>
      <c r="I213" s="619"/>
      <c r="J213" s="344"/>
      <c r="K213" s="133"/>
      <c r="L213" s="32"/>
    </row>
    <row r="214" spans="1:12" ht="21" hidden="1" customHeight="1">
      <c r="A214" s="57"/>
      <c r="B214" s="57" t="s">
        <v>165</v>
      </c>
      <c r="C214" s="46"/>
      <c r="D214" s="116"/>
      <c r="E214" s="30"/>
      <c r="F214" s="166"/>
      <c r="G214" s="326" t="e">
        <f>Tracking_SI5[[#This Row],[Còn lại so với ĐH]]/Tracking_SI5[[#This Row],[Số  lượng trên ĐH]]</f>
        <v>#DIV/0!</v>
      </c>
      <c r="H214" s="164"/>
      <c r="I214" s="619"/>
      <c r="J214" s="344"/>
      <c r="K214" s="133"/>
      <c r="L214" s="32"/>
    </row>
    <row r="215" spans="1:12" ht="21" customHeight="1">
      <c r="A215" s="58" t="s">
        <v>106</v>
      </c>
      <c r="B215" s="73" t="s">
        <v>206</v>
      </c>
      <c r="C215" s="74" t="s">
        <v>205</v>
      </c>
      <c r="D215" s="117"/>
      <c r="E215" s="75"/>
      <c r="F215" s="76"/>
      <c r="G215" s="323" t="e">
        <f>Tracking_SI5[[#This Row],[Còn lại so với ĐH]]/Tracking_SI5[[#This Row],[Số  lượng trên ĐH]]</f>
        <v>#DIV/0!</v>
      </c>
      <c r="H215" s="220"/>
      <c r="I215" s="204"/>
      <c r="J215" s="77"/>
      <c r="K215" s="136"/>
      <c r="L215" s="77"/>
    </row>
    <row r="216" spans="1:12" ht="21" customHeight="1">
      <c r="A216" s="57" t="s">
        <v>115</v>
      </c>
      <c r="B216" s="421" t="s">
        <v>206</v>
      </c>
      <c r="C216" s="319"/>
      <c r="D216" s="341">
        <v>46086</v>
      </c>
      <c r="E216" s="340" t="s">
        <v>212</v>
      </c>
      <c r="F216" s="343">
        <v>15000</v>
      </c>
      <c r="G216" s="326">
        <f>Tracking_SI5[[#This Row],[Còn lại so với ĐH]]/Tracking_SI5[[#This Row],[Số  lượng trên ĐH]]</f>
        <v>0</v>
      </c>
      <c r="H216" s="343">
        <f>SUM(H217:H221)</f>
        <v>15000</v>
      </c>
      <c r="I216" s="378">
        <f>Tracking_SI5[[#This Row],[Số  lượng trên ĐH]]-Tracking_SI5[[#This Row],[Số  lượng giao]]</f>
        <v>0</v>
      </c>
      <c r="J216" s="604"/>
      <c r="K216" s="356" t="s">
        <v>116</v>
      </c>
      <c r="L216" s="32"/>
    </row>
    <row r="217" spans="1:12" ht="21" hidden="1" customHeight="1">
      <c r="A217" s="57"/>
      <c r="B217" s="598" t="s">
        <v>206</v>
      </c>
      <c r="C217" s="319"/>
      <c r="D217" s="108" t="s">
        <v>262</v>
      </c>
      <c r="E217" s="27" t="s">
        <v>212</v>
      </c>
      <c r="F217" s="166"/>
      <c r="G217" s="326" t="e">
        <f>Tracking_SI5[[#This Row],[Còn lại so với ĐH]]/Tracking_SI5[[#This Row],[Số  lượng trên ĐH]]</f>
        <v>#DIV/0!</v>
      </c>
      <c r="H217" s="164">
        <v>1962</v>
      </c>
      <c r="I217" s="619"/>
      <c r="J217" s="344"/>
      <c r="K217" s="133" t="s">
        <v>118</v>
      </c>
      <c r="L217" s="32"/>
    </row>
    <row r="218" spans="1:12" ht="21" hidden="1" customHeight="1">
      <c r="A218" s="57"/>
      <c r="B218" s="598" t="s">
        <v>206</v>
      </c>
      <c r="C218" s="319"/>
      <c r="D218" s="116">
        <v>46141</v>
      </c>
      <c r="E218" s="27" t="s">
        <v>212</v>
      </c>
      <c r="F218" s="166"/>
      <c r="G218" s="326" t="e">
        <f>Tracking_SI5[[#This Row],[Còn lại so với ĐH]]/Tracking_SI5[[#This Row],[Số  lượng trên ĐH]]</f>
        <v>#DIV/0!</v>
      </c>
      <c r="H218" s="166">
        <v>8150</v>
      </c>
      <c r="I218" s="619"/>
      <c r="J218" s="344"/>
      <c r="K218" s="133" t="s">
        <v>118</v>
      </c>
      <c r="L218" s="32"/>
    </row>
    <row r="219" spans="1:12" ht="21" hidden="1" customHeight="1">
      <c r="A219" s="57"/>
      <c r="B219" s="598" t="s">
        <v>206</v>
      </c>
      <c r="C219" s="319"/>
      <c r="D219" s="116">
        <v>46148</v>
      </c>
      <c r="E219" s="27" t="s">
        <v>212</v>
      </c>
      <c r="F219" s="166"/>
      <c r="G219" s="326" t="e">
        <f>Tracking_SI5[[#This Row],[Còn lại so với ĐH]]/Tracking_SI5[[#This Row],[Số  lượng trên ĐH]]</f>
        <v>#DIV/0!</v>
      </c>
      <c r="H219" s="166">
        <v>2266</v>
      </c>
      <c r="I219" s="619"/>
      <c r="J219" s="344"/>
      <c r="K219" s="133" t="s">
        <v>118</v>
      </c>
      <c r="L219" s="32"/>
    </row>
    <row r="220" spans="1:12" ht="21" hidden="1" customHeight="1">
      <c r="A220" s="57"/>
      <c r="B220" s="598" t="s">
        <v>206</v>
      </c>
      <c r="C220" s="319"/>
      <c r="D220" s="116">
        <v>46151</v>
      </c>
      <c r="E220" s="27" t="s">
        <v>212</v>
      </c>
      <c r="F220" s="166"/>
      <c r="G220" s="326" t="e">
        <f>Tracking_SI5[[#This Row],[Còn lại so với ĐH]]/Tracking_SI5[[#This Row],[Số  lượng trên ĐH]]</f>
        <v>#DIV/0!</v>
      </c>
      <c r="H220" s="166">
        <v>1298</v>
      </c>
      <c r="I220" s="619"/>
      <c r="J220" s="344"/>
      <c r="K220" s="133" t="s">
        <v>118</v>
      </c>
      <c r="L220" s="32"/>
    </row>
    <row r="221" spans="1:12" ht="21" hidden="1" customHeight="1">
      <c r="A221" s="57"/>
      <c r="B221" s="598" t="s">
        <v>206</v>
      </c>
      <c r="C221" s="319"/>
      <c r="D221" s="108">
        <v>46155</v>
      </c>
      <c r="E221" s="27" t="s">
        <v>212</v>
      </c>
      <c r="F221" s="166"/>
      <c r="G221" s="326" t="e">
        <f>Tracking_SI5[[#This Row],[Còn lại so với ĐH]]/Tracking_SI5[[#This Row],[Số  lượng trên ĐH]]</f>
        <v>#DIV/0!</v>
      </c>
      <c r="H221" s="164">
        <v>1324</v>
      </c>
      <c r="I221" s="619"/>
      <c r="J221" s="344"/>
      <c r="K221" s="133" t="s">
        <v>118</v>
      </c>
      <c r="L221" s="32"/>
    </row>
    <row r="222" spans="1:12" ht="21" customHeight="1">
      <c r="A222" s="57" t="s">
        <v>115</v>
      </c>
      <c r="B222" s="421" t="s">
        <v>206</v>
      </c>
      <c r="C222" s="319"/>
      <c r="D222" s="341">
        <v>46086</v>
      </c>
      <c r="E222" s="340" t="s">
        <v>253</v>
      </c>
      <c r="F222" s="343">
        <v>10000</v>
      </c>
      <c r="G222" s="326">
        <f>Tracking_SI5[[#This Row],[Còn lại so với ĐH]]/Tracking_SI5[[#This Row],[Số  lượng trên ĐH]]</f>
        <v>2.1600000000000001E-2</v>
      </c>
      <c r="H222" s="343">
        <f>SUM(H223:H233)</f>
        <v>9784</v>
      </c>
      <c r="I222" s="378">
        <f>Tracking_SI5[[#This Row],[Số  lượng trên ĐH]]-Tracking_SI5[[#This Row],[Số  lượng giao]]</f>
        <v>216</v>
      </c>
      <c r="J222" s="343"/>
      <c r="K222" s="356"/>
      <c r="L222" s="32"/>
    </row>
    <row r="223" spans="1:12" ht="21" hidden="1" customHeight="1">
      <c r="A223" s="57"/>
      <c r="B223" s="421" t="s">
        <v>206</v>
      </c>
      <c r="C223" s="152"/>
      <c r="D223" s="108">
        <v>46155</v>
      </c>
      <c r="E223" s="27" t="s">
        <v>253</v>
      </c>
      <c r="F223" s="166"/>
      <c r="G223" s="326" t="e">
        <f>Tracking_SI5[[#This Row],[Còn lại so với ĐH]]/Tracking_SI5[[#This Row],[Số  lượng trên ĐH]]</f>
        <v>#DIV/0!</v>
      </c>
      <c r="H223" s="554">
        <f>1620-H221</f>
        <v>296</v>
      </c>
      <c r="I223" s="610"/>
      <c r="J223" s="344"/>
      <c r="K223" s="133"/>
      <c r="L223" s="32"/>
    </row>
    <row r="224" spans="1:12" ht="21" hidden="1" customHeight="1">
      <c r="A224" s="57"/>
      <c r="B224" s="421" t="s">
        <v>206</v>
      </c>
      <c r="C224" s="152"/>
      <c r="D224" s="116">
        <v>46157</v>
      </c>
      <c r="E224" s="27" t="s">
        <v>253</v>
      </c>
      <c r="F224" s="166"/>
      <c r="G224" s="326" t="e">
        <f>Tracking_SI5[[#This Row],[Còn lại so với ĐH]]/Tracking_SI5[[#This Row],[Số  lượng trên ĐH]]</f>
        <v>#DIV/0!</v>
      </c>
      <c r="H224" s="166">
        <v>989</v>
      </c>
      <c r="I224" s="619"/>
      <c r="J224" s="344"/>
      <c r="K224" s="133"/>
      <c r="L224" s="32"/>
    </row>
    <row r="225" spans="1:12" ht="21" hidden="1" customHeight="1">
      <c r="A225" s="57"/>
      <c r="B225" s="421" t="s">
        <v>206</v>
      </c>
      <c r="C225" s="152"/>
      <c r="D225" s="116">
        <v>46161</v>
      </c>
      <c r="E225" s="27" t="s">
        <v>253</v>
      </c>
      <c r="F225" s="31"/>
      <c r="G225" s="326" t="e">
        <f>Tracking_SI5[[#This Row],[Còn lại so với ĐH]]/Tracking_SI5[[#This Row],[Số  lượng trên ĐH]]</f>
        <v>#DIV/0!</v>
      </c>
      <c r="H225" s="26">
        <v>656</v>
      </c>
      <c r="I225" s="189"/>
      <c r="J225" s="32"/>
      <c r="K225" s="133"/>
      <c r="L225" s="32"/>
    </row>
    <row r="226" spans="1:12" ht="21" hidden="1" customHeight="1">
      <c r="A226" s="57"/>
      <c r="B226" s="421" t="s">
        <v>206</v>
      </c>
      <c r="C226" s="152"/>
      <c r="D226" s="108">
        <v>46168</v>
      </c>
      <c r="E226" s="27" t="s">
        <v>253</v>
      </c>
      <c r="F226" s="31"/>
      <c r="G226" s="326" t="e">
        <f>Tracking_SI5[[#This Row],[Còn lại so với ĐH]]/Tracking_SI5[[#This Row],[Số  lượng trên ĐH]]</f>
        <v>#DIV/0!</v>
      </c>
      <c r="H226" s="31">
        <v>974</v>
      </c>
      <c r="I226" s="189"/>
      <c r="J226" s="32"/>
      <c r="K226" s="133"/>
      <c r="L226" s="32"/>
    </row>
    <row r="227" spans="1:12" ht="21" hidden="1" customHeight="1">
      <c r="A227" s="57"/>
      <c r="B227" s="421" t="s">
        <v>206</v>
      </c>
      <c r="C227" s="152"/>
      <c r="D227" s="108">
        <v>46175</v>
      </c>
      <c r="E227" s="27" t="s">
        <v>253</v>
      </c>
      <c r="F227" s="31"/>
      <c r="G227" s="326" t="e">
        <f>Tracking_SI5[[#This Row],[Còn lại so với ĐH]]/Tracking_SI5[[#This Row],[Số  lượng trên ĐH]]</f>
        <v>#DIV/0!</v>
      </c>
      <c r="H227" s="31">
        <v>1634</v>
      </c>
      <c r="I227" s="189"/>
      <c r="J227" s="32"/>
      <c r="K227" s="133"/>
      <c r="L227" s="32"/>
    </row>
    <row r="228" spans="1:12" ht="21" hidden="1" customHeight="1">
      <c r="A228" s="57"/>
      <c r="B228" s="421" t="s">
        <v>206</v>
      </c>
      <c r="C228" s="152"/>
      <c r="D228" s="108">
        <v>46200</v>
      </c>
      <c r="E228" s="27" t="s">
        <v>253</v>
      </c>
      <c r="F228" s="31"/>
      <c r="G228" s="326" t="e">
        <f>Tracking_SI5[[#This Row],[Còn lại so với ĐH]]/Tracking_SI5[[#This Row],[Số  lượng trên ĐH]]</f>
        <v>#DIV/0!</v>
      </c>
      <c r="H228" s="31">
        <v>2949</v>
      </c>
      <c r="I228" s="189"/>
      <c r="J228" s="32"/>
      <c r="K228" s="133"/>
      <c r="L228" s="32"/>
    </row>
    <row r="229" spans="1:12" ht="21" hidden="1" customHeight="1">
      <c r="A229" s="57"/>
      <c r="B229" s="421" t="s">
        <v>206</v>
      </c>
      <c r="C229" s="152"/>
      <c r="D229" s="108">
        <v>46207</v>
      </c>
      <c r="E229" s="27" t="s">
        <v>253</v>
      </c>
      <c r="F229" s="31"/>
      <c r="G229" s="326" t="e">
        <f>Tracking_SI5[[#This Row],[Còn lại so với ĐH]]/Tracking_SI5[[#This Row],[Số  lượng trên ĐH]]</f>
        <v>#DIV/0!</v>
      </c>
      <c r="H229" s="31">
        <v>1960</v>
      </c>
      <c r="I229" s="189"/>
      <c r="J229" s="32"/>
      <c r="K229" s="133"/>
      <c r="L229" s="32"/>
    </row>
    <row r="230" spans="1:12" ht="21" hidden="1" customHeight="1">
      <c r="A230" s="57"/>
      <c r="B230" s="421" t="s">
        <v>206</v>
      </c>
      <c r="C230" s="152"/>
      <c r="D230" s="108">
        <v>46221</v>
      </c>
      <c r="E230" s="27" t="s">
        <v>253</v>
      </c>
      <c r="F230" s="31"/>
      <c r="G230" s="326" t="e">
        <f>Tracking_SI5[[#This Row],[Còn lại so với ĐH]]/Tracking_SI5[[#This Row],[Số  lượng trên ĐH]]</f>
        <v>#DIV/0!</v>
      </c>
      <c r="H230" s="31">
        <v>326</v>
      </c>
      <c r="I230" s="189"/>
      <c r="J230" s="32"/>
      <c r="K230" s="133"/>
      <c r="L230" s="32"/>
    </row>
    <row r="231" spans="1:12" ht="21" hidden="1" customHeight="1">
      <c r="A231" s="57"/>
      <c r="B231" s="421" t="s">
        <v>206</v>
      </c>
      <c r="C231" s="152"/>
      <c r="D231" s="108"/>
      <c r="E231" s="27" t="s">
        <v>253</v>
      </c>
      <c r="F231" s="31"/>
      <c r="G231" s="326" t="e">
        <f>Tracking_SI5[[#This Row],[Còn lại so với ĐH]]/Tracking_SI5[[#This Row],[Số  lượng trên ĐH]]</f>
        <v>#DIV/0!</v>
      </c>
      <c r="H231" s="31"/>
      <c r="I231" s="189"/>
      <c r="J231" s="32"/>
      <c r="K231" s="133"/>
      <c r="L231" s="32"/>
    </row>
    <row r="232" spans="1:12" ht="21" hidden="1" customHeight="1">
      <c r="A232" s="57"/>
      <c r="B232" s="421" t="s">
        <v>206</v>
      </c>
      <c r="C232" s="152"/>
      <c r="D232" s="108"/>
      <c r="E232" s="27" t="s">
        <v>253</v>
      </c>
      <c r="F232" s="31"/>
      <c r="G232" s="326" t="e">
        <f>Tracking_SI5[[#This Row],[Còn lại so với ĐH]]/Tracking_SI5[[#This Row],[Số  lượng trên ĐH]]</f>
        <v>#DIV/0!</v>
      </c>
      <c r="H232" s="31"/>
      <c r="I232" s="189"/>
      <c r="J232" s="32"/>
      <c r="K232" s="133"/>
      <c r="L232" s="32"/>
    </row>
    <row r="233" spans="1:12" ht="21" hidden="1" customHeight="1">
      <c r="A233" s="57"/>
      <c r="B233" s="421" t="s">
        <v>206</v>
      </c>
      <c r="C233" s="152"/>
      <c r="D233" s="116"/>
      <c r="E233" s="27" t="s">
        <v>253</v>
      </c>
      <c r="F233" s="31"/>
      <c r="G233" s="326" t="e">
        <f>Tracking_SI5[[#This Row],[Còn lại so với ĐH]]/Tracking_SI5[[#This Row],[Số  lượng trên ĐH]]</f>
        <v>#DIV/0!</v>
      </c>
      <c r="H233" s="31"/>
      <c r="I233" s="189"/>
      <c r="J233" s="32"/>
      <c r="K233" s="133"/>
      <c r="L233" s="32"/>
    </row>
    <row r="234" spans="1:12" ht="21" customHeight="1">
      <c r="A234" s="58" t="s">
        <v>106</v>
      </c>
      <c r="B234" s="73"/>
      <c r="C234" s="74" t="s">
        <v>204</v>
      </c>
      <c r="D234" s="117"/>
      <c r="E234" s="75"/>
      <c r="F234" s="76"/>
      <c r="G234" s="323" t="e">
        <f>Tracking_SI5[[#This Row],[Còn lại so với ĐH]]/Tracking_SI5[[#This Row],[Số  lượng trên ĐH]]</f>
        <v>#DIV/0!</v>
      </c>
      <c r="H234" s="220"/>
      <c r="I234" s="204"/>
      <c r="J234" s="77"/>
      <c r="K234" s="136"/>
      <c r="L234" s="77"/>
    </row>
    <row r="235" spans="1:12" ht="21" hidden="1" customHeight="1">
      <c r="A235" s="57"/>
      <c r="B235" s="57"/>
      <c r="C235" s="46"/>
      <c r="D235" s="116"/>
      <c r="E235" s="30"/>
      <c r="F235" s="166"/>
      <c r="G235" s="323" t="e">
        <f>Tracking_SI5[[#This Row],[Còn lại so với ĐH]]/Tracking_SI5[[#This Row],[Số  lượng trên ĐH]]</f>
        <v>#DIV/0!</v>
      </c>
      <c r="H235" s="164"/>
      <c r="I235" s="619"/>
      <c r="J235" s="344"/>
      <c r="K235" s="133"/>
      <c r="L235" s="32"/>
    </row>
    <row r="236" spans="1:12" ht="21" customHeight="1">
      <c r="A236" s="58" t="s">
        <v>106</v>
      </c>
      <c r="B236" s="73" t="s">
        <v>295</v>
      </c>
      <c r="C236" s="74" t="s">
        <v>204</v>
      </c>
      <c r="D236" s="117"/>
      <c r="E236" s="75"/>
      <c r="F236" s="76"/>
      <c r="G236" s="323" t="e">
        <f>Tracking_SI5[[#This Row],[Còn lại so với ĐH]]/Tracking_SI5[[#This Row],[Số  lượng trên ĐH]]</f>
        <v>#DIV/0!</v>
      </c>
      <c r="H236" s="220"/>
      <c r="I236" s="204"/>
      <c r="J236" s="77"/>
      <c r="K236" s="136"/>
      <c r="L236" s="77"/>
    </row>
    <row r="237" spans="1:12" ht="21" customHeight="1">
      <c r="A237" s="58" t="s">
        <v>115</v>
      </c>
      <c r="B237" s="108" t="s">
        <v>295</v>
      </c>
      <c r="C237" s="673"/>
      <c r="D237" s="674">
        <v>46259</v>
      </c>
      <c r="E237" s="675" t="s">
        <v>293</v>
      </c>
      <c r="F237" s="676">
        <v>18000</v>
      </c>
      <c r="G237" s="326">
        <f>Tracking_SI5[[#This Row],[Còn lại so với ĐH]]/Tracking_SI5[[#This Row],[Số  lượng trên ĐH]]</f>
        <v>1</v>
      </c>
      <c r="H237" s="343">
        <f>SUM(H238:H241)</f>
        <v>0</v>
      </c>
      <c r="I237" s="378">
        <f>Tracking_SI5[[#This Row],[Số  lượng trên ĐH]]-Tracking_SI5[[#This Row],[Số  lượng giao]]</f>
        <v>18000</v>
      </c>
      <c r="J237" s="339"/>
      <c r="K237" s="677"/>
      <c r="L237" s="32"/>
    </row>
    <row r="238" spans="1:12" ht="21" hidden="1" customHeight="1">
      <c r="A238" s="58"/>
      <c r="B238" s="108" t="s">
        <v>295</v>
      </c>
      <c r="C238" s="673"/>
      <c r="D238" s="116"/>
      <c r="E238" s="30" t="s">
        <v>293</v>
      </c>
      <c r="F238" s="31"/>
      <c r="G238" s="326" t="e">
        <f>Tracking_SI5[[#This Row],[Còn lại so với ĐH]]/Tracking_SI5[[#This Row],[Số  lượng trên ĐH]]</f>
        <v>#DIV/0!</v>
      </c>
      <c r="H238" s="31"/>
      <c r="I238" s="189"/>
      <c r="J238" s="32"/>
      <c r="K238" s="133"/>
      <c r="L238" s="32"/>
    </row>
    <row r="239" spans="1:12" ht="21" hidden="1" customHeight="1">
      <c r="A239" s="58"/>
      <c r="B239" s="108" t="s">
        <v>295</v>
      </c>
      <c r="C239" s="673"/>
      <c r="D239" s="116"/>
      <c r="E239" s="30" t="s">
        <v>293</v>
      </c>
      <c r="F239" s="31"/>
      <c r="G239" s="326" t="e">
        <f>Tracking_SI5[[#This Row],[Còn lại so với ĐH]]/Tracking_SI5[[#This Row],[Số  lượng trên ĐH]]</f>
        <v>#DIV/0!</v>
      </c>
      <c r="H239" s="31"/>
      <c r="I239" s="189"/>
      <c r="J239" s="32"/>
      <c r="K239" s="133"/>
      <c r="L239" s="32"/>
    </row>
    <row r="240" spans="1:12" ht="21" hidden="1" customHeight="1">
      <c r="A240" s="57"/>
      <c r="B240" s="108" t="s">
        <v>295</v>
      </c>
      <c r="C240" s="46"/>
      <c r="D240" s="116"/>
      <c r="E240" s="30" t="s">
        <v>293</v>
      </c>
      <c r="F240" s="166"/>
      <c r="G240" s="323" t="e">
        <f>Tracking_SI5[[#This Row],[Còn lại so với ĐH]]/Tracking_SI5[[#This Row],[Số  lượng trên ĐH]]</f>
        <v>#DIV/0!</v>
      </c>
      <c r="H240" s="164"/>
      <c r="I240" s="606"/>
      <c r="J240" s="344"/>
      <c r="K240" s="133"/>
      <c r="L240" s="32"/>
    </row>
    <row r="241" spans="1:12" ht="21" hidden="1" customHeight="1">
      <c r="A241" s="57"/>
      <c r="B241" s="108" t="s">
        <v>295</v>
      </c>
      <c r="C241" s="46"/>
      <c r="D241" s="116"/>
      <c r="E241" s="30" t="s">
        <v>293</v>
      </c>
      <c r="F241" s="166"/>
      <c r="G241" s="323" t="e">
        <f>Tracking_SI5[[#This Row],[Còn lại so với ĐH]]/Tracking_SI5[[#This Row],[Số  lượng trên ĐH]]</f>
        <v>#DIV/0!</v>
      </c>
      <c r="H241" s="164"/>
      <c r="I241" s="606"/>
      <c r="J241" s="344"/>
      <c r="K241" s="133"/>
      <c r="L241" s="32"/>
    </row>
    <row r="242" spans="1:12" ht="21" customHeight="1">
      <c r="A242" s="58" t="s">
        <v>106</v>
      </c>
      <c r="B242" s="73" t="s">
        <v>191</v>
      </c>
      <c r="C242" s="74" t="s">
        <v>190</v>
      </c>
      <c r="D242" s="117"/>
      <c r="E242" s="736"/>
      <c r="F242" s="75"/>
      <c r="G242" s="726"/>
      <c r="H242" s="220"/>
      <c r="I242" s="204"/>
      <c r="J242" s="78"/>
      <c r="K242" s="137"/>
      <c r="L242" s="77"/>
    </row>
    <row r="243" spans="1:12" ht="21" customHeight="1">
      <c r="A243" s="58" t="s">
        <v>115</v>
      </c>
      <c r="B243" s="421" t="s">
        <v>191</v>
      </c>
      <c r="C243" s="48"/>
      <c r="D243" s="113">
        <v>46144</v>
      </c>
      <c r="E243" s="739" t="s">
        <v>267</v>
      </c>
      <c r="F243" s="165">
        <v>15000</v>
      </c>
      <c r="G243" s="539">
        <f>Tracking_SI5[[#This Row],[Còn lại so với ĐH]]/Tracking_SI5[[#This Row],[Số  lượng trên ĐH]]</f>
        <v>0</v>
      </c>
      <c r="H243" s="165">
        <f>SUM(H244:H248)</f>
        <v>15000</v>
      </c>
      <c r="I243" s="365">
        <f>Tracking_SI5[[#This Row],[Số  lượng trên ĐH]]-Tracking_SI5[[#This Row],[Số  lượng giao]]</f>
        <v>0</v>
      </c>
      <c r="J243" s="338">
        <v>46500</v>
      </c>
      <c r="K243" s="127" t="s">
        <v>116</v>
      </c>
      <c r="L243" s="36"/>
    </row>
    <row r="244" spans="1:12" ht="21" hidden="1" customHeight="1">
      <c r="A244" s="58"/>
      <c r="B244" s="57" t="s">
        <v>191</v>
      </c>
      <c r="C244" s="48"/>
      <c r="D244" s="350">
        <v>46237</v>
      </c>
      <c r="E244" s="735" t="s">
        <v>267</v>
      </c>
      <c r="F244" s="748"/>
      <c r="G244" s="326"/>
      <c r="H244" s="587">
        <v>4435</v>
      </c>
      <c r="I244" s="623"/>
      <c r="J244" s="624"/>
      <c r="K244" s="196" t="s">
        <v>118</v>
      </c>
      <c r="L244" s="36"/>
    </row>
    <row r="245" spans="1:12" ht="21" hidden="1" customHeight="1">
      <c r="A245" s="57"/>
      <c r="B245" s="57" t="s">
        <v>191</v>
      </c>
      <c r="C245" s="48"/>
      <c r="D245" s="350">
        <v>46239</v>
      </c>
      <c r="E245" s="735" t="s">
        <v>267</v>
      </c>
      <c r="F245" s="587"/>
      <c r="G245" s="326"/>
      <c r="H245" s="164">
        <v>3523</v>
      </c>
      <c r="I245" s="354"/>
      <c r="J245" s="618"/>
      <c r="K245" s="196" t="s">
        <v>118</v>
      </c>
      <c r="L245" s="37"/>
    </row>
    <row r="246" spans="1:12" ht="21" hidden="1" customHeight="1">
      <c r="A246" s="57"/>
      <c r="B246" s="57" t="s">
        <v>191</v>
      </c>
      <c r="C246" s="48"/>
      <c r="D246" s="108">
        <v>46241</v>
      </c>
      <c r="E246" s="735" t="s">
        <v>267</v>
      </c>
      <c r="F246" s="625"/>
      <c r="G246" s="326"/>
      <c r="H246" s="164">
        <v>2878</v>
      </c>
      <c r="I246" s="619"/>
      <c r="J246" s="618"/>
      <c r="K246" s="196" t="s">
        <v>118</v>
      </c>
      <c r="L246" s="37"/>
    </row>
    <row r="247" spans="1:12" ht="21" hidden="1" customHeight="1">
      <c r="A247" s="57"/>
      <c r="B247" s="57" t="s">
        <v>191</v>
      </c>
      <c r="C247" s="48"/>
      <c r="D247" s="108">
        <v>46244</v>
      </c>
      <c r="E247" s="737" t="s">
        <v>267</v>
      </c>
      <c r="F247" s="625"/>
      <c r="G247" s="326"/>
      <c r="H247" s="164">
        <v>2318</v>
      </c>
      <c r="I247" s="619"/>
      <c r="J247" s="618"/>
      <c r="K247" s="196" t="s">
        <v>118</v>
      </c>
      <c r="L247" s="37"/>
    </row>
    <row r="248" spans="1:12" ht="21" hidden="1" customHeight="1">
      <c r="A248" s="57"/>
      <c r="B248" s="57" t="s">
        <v>191</v>
      </c>
      <c r="C248" s="48"/>
      <c r="D248" s="108">
        <v>46246</v>
      </c>
      <c r="E248" s="737" t="s">
        <v>267</v>
      </c>
      <c r="F248" s="625"/>
      <c r="G248" s="326"/>
      <c r="H248" s="164">
        <v>1846</v>
      </c>
      <c r="I248" s="619"/>
      <c r="J248" s="618"/>
      <c r="K248" s="196" t="s">
        <v>118</v>
      </c>
      <c r="L248" s="37"/>
    </row>
    <row r="249" spans="1:12" ht="21" customHeight="1">
      <c r="A249" s="57" t="s">
        <v>115</v>
      </c>
      <c r="B249" s="57" t="s">
        <v>191</v>
      </c>
      <c r="C249" s="48"/>
      <c r="D249" s="113">
        <v>46183</v>
      </c>
      <c r="E249" s="739" t="s">
        <v>278</v>
      </c>
      <c r="F249" s="671">
        <v>12000</v>
      </c>
      <c r="G249" s="539">
        <f>Tracking_SI5[[#This Row],[Còn lại so với ĐH]]/Tracking_SI5[[#This Row],[Số  lượng trên ĐH]]</f>
        <v>0</v>
      </c>
      <c r="H249" s="165">
        <f>SUM(H250:H253)</f>
        <v>12000</v>
      </c>
      <c r="I249" s="365">
        <f>Tracking_SI5[[#This Row],[Số  lượng trên ĐH]]-Tracking_SI5[[#This Row],[Số  lượng giao]]</f>
        <v>0</v>
      </c>
      <c r="J249" s="338">
        <v>43700</v>
      </c>
      <c r="K249" s="138" t="s">
        <v>116</v>
      </c>
      <c r="L249" s="37"/>
    </row>
    <row r="250" spans="1:12" ht="21" hidden="1" customHeight="1">
      <c r="A250" s="57"/>
      <c r="B250" s="57" t="s">
        <v>191</v>
      </c>
      <c r="C250" s="312"/>
      <c r="D250" s="108">
        <v>46246</v>
      </c>
      <c r="E250" s="737" t="s">
        <v>278</v>
      </c>
      <c r="F250" s="625"/>
      <c r="G250" s="326"/>
      <c r="H250" s="164">
        <f>2559-H248</f>
        <v>713</v>
      </c>
      <c r="I250" s="619"/>
      <c r="J250" s="618"/>
      <c r="K250" s="196" t="s">
        <v>118</v>
      </c>
      <c r="L250" s="37"/>
    </row>
    <row r="251" spans="1:12" ht="21" hidden="1" customHeight="1">
      <c r="A251" s="57"/>
      <c r="B251" s="57" t="s">
        <v>191</v>
      </c>
      <c r="C251" s="312"/>
      <c r="D251" s="108">
        <v>46258</v>
      </c>
      <c r="E251" s="735" t="s">
        <v>278</v>
      </c>
      <c r="F251" s="168"/>
      <c r="G251" s="326"/>
      <c r="H251" s="164">
        <v>8065</v>
      </c>
      <c r="I251" s="354"/>
      <c r="J251" s="618"/>
      <c r="K251" s="196" t="s">
        <v>118</v>
      </c>
      <c r="L251" s="37"/>
    </row>
    <row r="252" spans="1:12" ht="21" hidden="1" customHeight="1">
      <c r="A252" s="57"/>
      <c r="B252" s="57" t="s">
        <v>191</v>
      </c>
      <c r="C252" s="312"/>
      <c r="D252" s="108">
        <v>46260</v>
      </c>
      <c r="E252" s="737" t="s">
        <v>278</v>
      </c>
      <c r="F252" s="625"/>
      <c r="G252" s="326"/>
      <c r="H252" s="164">
        <v>2669</v>
      </c>
      <c r="I252" s="619"/>
      <c r="J252" s="618"/>
      <c r="K252" s="196" t="s">
        <v>118</v>
      </c>
      <c r="L252" s="37"/>
    </row>
    <row r="253" spans="1:12" ht="21" hidden="1" customHeight="1">
      <c r="A253" s="57"/>
      <c r="B253" s="57" t="s">
        <v>191</v>
      </c>
      <c r="C253" s="312"/>
      <c r="D253" s="108">
        <v>46273</v>
      </c>
      <c r="E253" s="737" t="s">
        <v>278</v>
      </c>
      <c r="F253" s="625"/>
      <c r="G253" s="326"/>
      <c r="H253" s="166">
        <v>553</v>
      </c>
      <c r="I253" s="619"/>
      <c r="J253" s="618"/>
      <c r="K253" s="196" t="s">
        <v>118</v>
      </c>
      <c r="L253" s="37"/>
    </row>
    <row r="254" spans="1:12" ht="21" customHeight="1">
      <c r="A254" s="57" t="s">
        <v>115</v>
      </c>
      <c r="B254" s="57" t="s">
        <v>191</v>
      </c>
      <c r="C254" s="312"/>
      <c r="D254" s="341">
        <v>46259</v>
      </c>
      <c r="E254" s="731" t="s">
        <v>293</v>
      </c>
      <c r="F254" s="343">
        <v>18000</v>
      </c>
      <c r="G254" s="697">
        <f>Tracking_SI5[[#This Row],[Còn lại so với ĐH]]/Tracking_SI5[[#This Row],[Số  lượng trên ĐH]]</f>
        <v>0.32261111111111113</v>
      </c>
      <c r="H254" s="378">
        <f>SUM(H255:H260)</f>
        <v>12193</v>
      </c>
      <c r="I254" s="378">
        <f>Tracking_SI5[[#This Row],[Số  lượng trên ĐH]]-Tracking_SI5[[#This Row],[Số  lượng giao]]</f>
        <v>5807</v>
      </c>
      <c r="J254" s="373"/>
      <c r="K254" s="341"/>
      <c r="L254" s="32"/>
    </row>
    <row r="255" spans="1:12" ht="21" hidden="1" customHeight="1">
      <c r="A255" s="57"/>
      <c r="B255" s="57" t="s">
        <v>191</v>
      </c>
      <c r="C255" s="312"/>
      <c r="D255" s="108">
        <v>46273</v>
      </c>
      <c r="E255" s="737" t="s">
        <v>293</v>
      </c>
      <c r="F255" s="625"/>
      <c r="G255" s="326"/>
      <c r="H255" s="166">
        <f>2694-H253</f>
        <v>2141</v>
      </c>
      <c r="I255" s="623"/>
      <c r="J255" s="618"/>
      <c r="K255" s="139"/>
      <c r="L255" s="37"/>
    </row>
    <row r="256" spans="1:12" ht="21" hidden="1" customHeight="1">
      <c r="A256" s="57"/>
      <c r="B256" s="57" t="s">
        <v>191</v>
      </c>
      <c r="C256" s="312"/>
      <c r="D256" s="108">
        <v>46276</v>
      </c>
      <c r="E256" s="737" t="s">
        <v>293</v>
      </c>
      <c r="F256" s="625"/>
      <c r="G256" s="326"/>
      <c r="H256" s="166">
        <v>1004</v>
      </c>
      <c r="I256" s="623"/>
      <c r="J256" s="618"/>
      <c r="K256" s="139"/>
      <c r="L256" s="37"/>
    </row>
    <row r="257" spans="1:13" ht="21" hidden="1" customHeight="1">
      <c r="A257" s="57"/>
      <c r="B257" s="57" t="s">
        <v>191</v>
      </c>
      <c r="C257" s="312"/>
      <c r="D257" s="108">
        <v>46280</v>
      </c>
      <c r="E257" s="734" t="s">
        <v>293</v>
      </c>
      <c r="F257" s="625"/>
      <c r="G257" s="326"/>
      <c r="H257" s="727">
        <v>333</v>
      </c>
      <c r="I257" s="623"/>
      <c r="J257" s="618"/>
      <c r="K257" s="139"/>
      <c r="L257" s="37"/>
    </row>
    <row r="258" spans="1:13" ht="21" hidden="1" customHeight="1">
      <c r="A258" s="57"/>
      <c r="B258" s="57" t="s">
        <v>191</v>
      </c>
      <c r="C258" s="312"/>
      <c r="D258" s="108">
        <v>46287</v>
      </c>
      <c r="E258" s="737" t="s">
        <v>293</v>
      </c>
      <c r="F258" s="625"/>
      <c r="G258" s="326"/>
      <c r="H258" s="166">
        <v>1685</v>
      </c>
      <c r="I258" s="623"/>
      <c r="J258" s="618"/>
      <c r="K258" s="139"/>
      <c r="L258" s="37"/>
    </row>
    <row r="259" spans="1:13" ht="21" hidden="1" customHeight="1">
      <c r="A259" s="57"/>
      <c r="B259" s="57" t="s">
        <v>191</v>
      </c>
      <c r="C259" s="312"/>
      <c r="D259" s="108">
        <v>46297</v>
      </c>
      <c r="E259" s="737" t="s">
        <v>293</v>
      </c>
      <c r="F259" s="625"/>
      <c r="G259" s="326"/>
      <c r="H259" s="166">
        <v>2699</v>
      </c>
      <c r="I259" s="623"/>
      <c r="J259" s="618"/>
      <c r="K259" s="139"/>
      <c r="L259" s="37"/>
    </row>
    <row r="260" spans="1:13" ht="21" hidden="1" customHeight="1">
      <c r="A260" s="57" t="s">
        <v>118</v>
      </c>
      <c r="B260" s="57" t="s">
        <v>191</v>
      </c>
      <c r="C260" s="312"/>
      <c r="D260" s="108">
        <v>46302</v>
      </c>
      <c r="E260" s="737" t="s">
        <v>293</v>
      </c>
      <c r="F260" s="625"/>
      <c r="G260" s="326"/>
      <c r="H260" s="166">
        <v>4331</v>
      </c>
      <c r="I260" s="623"/>
      <c r="J260" s="618"/>
      <c r="K260" s="139"/>
      <c r="L260" s="37"/>
    </row>
    <row r="261" spans="1:13" ht="21" hidden="1" customHeight="1">
      <c r="A261" s="57"/>
      <c r="B261" s="57" t="s">
        <v>191</v>
      </c>
      <c r="C261" s="312"/>
      <c r="D261" s="341">
        <v>46277</v>
      </c>
      <c r="E261" s="731" t="s">
        <v>342</v>
      </c>
      <c r="F261" s="378">
        <v>18000</v>
      </c>
      <c r="G261" s="697">
        <f>Tracking_SI5[[#This Row],[Còn lại so với ĐH]]/Tracking_SI5[[#This Row],[Số  lượng trên ĐH]]</f>
        <v>1</v>
      </c>
      <c r="H261" s="378">
        <f>SUM(H267:H270)</f>
        <v>0</v>
      </c>
      <c r="I261" s="378">
        <f>Tracking_SI5[[#This Row],[Số  lượng trên ĐH]]-Tracking_SI5[[#This Row],[Số  lượng giao]]</f>
        <v>18000</v>
      </c>
      <c r="J261" s="779">
        <v>46000</v>
      </c>
      <c r="K261" s="139"/>
      <c r="L261" s="37"/>
      <c r="M261" s="326"/>
    </row>
    <row r="262" spans="1:13" ht="21" hidden="1" customHeight="1">
      <c r="A262" s="57"/>
      <c r="B262" s="57" t="s">
        <v>191</v>
      </c>
      <c r="C262" s="261"/>
      <c r="D262" s="215"/>
      <c r="E262" s="777" t="s">
        <v>342</v>
      </c>
      <c r="F262" s="623"/>
      <c r="G262" s="763"/>
      <c r="H262" s="166"/>
      <c r="I262" s="623"/>
      <c r="J262" s="778"/>
      <c r="K262" s="139"/>
      <c r="L262" s="37"/>
      <c r="M262" s="326"/>
    </row>
    <row r="263" spans="1:13" ht="21" hidden="1" customHeight="1">
      <c r="A263" s="57"/>
      <c r="B263" s="57" t="s">
        <v>191</v>
      </c>
      <c r="C263" s="773"/>
      <c r="D263" s="215"/>
      <c r="E263" s="777" t="s">
        <v>342</v>
      </c>
      <c r="F263" s="623"/>
      <c r="G263" s="763"/>
      <c r="H263" s="166"/>
      <c r="I263" s="623"/>
      <c r="J263" s="778"/>
      <c r="K263" s="139"/>
      <c r="L263" s="37"/>
      <c r="M263" s="326"/>
    </row>
    <row r="264" spans="1:13" ht="21" hidden="1" customHeight="1">
      <c r="A264" s="57"/>
      <c r="B264" s="57" t="s">
        <v>191</v>
      </c>
      <c r="C264" s="261"/>
      <c r="D264" s="215"/>
      <c r="E264" s="777" t="s">
        <v>342</v>
      </c>
      <c r="F264" s="623"/>
      <c r="G264" s="763"/>
      <c r="H264" s="166"/>
      <c r="I264" s="623"/>
      <c r="J264" s="778"/>
      <c r="K264" s="139"/>
      <c r="L264" s="37"/>
      <c r="M264" s="326"/>
    </row>
    <row r="265" spans="1:13" ht="21" hidden="1" customHeight="1">
      <c r="A265" s="57"/>
      <c r="B265" s="57" t="s">
        <v>191</v>
      </c>
      <c r="C265" s="261"/>
      <c r="D265" s="215"/>
      <c r="E265" s="777" t="s">
        <v>342</v>
      </c>
      <c r="F265" s="623"/>
      <c r="G265" s="763"/>
      <c r="H265" s="166"/>
      <c r="I265" s="623"/>
      <c r="J265" s="778"/>
      <c r="K265" s="139"/>
      <c r="L265" s="37"/>
      <c r="M265" s="326"/>
    </row>
    <row r="266" spans="1:13" ht="21" customHeight="1">
      <c r="A266" s="57" t="s">
        <v>115</v>
      </c>
      <c r="B266" s="57" t="s">
        <v>191</v>
      </c>
      <c r="C266" s="152"/>
      <c r="D266" s="116"/>
      <c r="E266" s="777" t="s">
        <v>342</v>
      </c>
      <c r="F266" s="169"/>
      <c r="G266" s="763"/>
      <c r="H266" s="166"/>
      <c r="I266" s="780"/>
      <c r="J266" s="778"/>
      <c r="K266" s="139"/>
      <c r="L266" s="37"/>
    </row>
    <row r="267" spans="1:13" ht="21" hidden="1" customHeight="1">
      <c r="A267" s="57"/>
      <c r="B267" s="58"/>
      <c r="C267" s="261"/>
      <c r="D267" s="215"/>
      <c r="E267" s="737" t="s">
        <v>342</v>
      </c>
      <c r="F267" s="623"/>
      <c r="G267" s="763"/>
      <c r="H267" s="166"/>
      <c r="I267" s="623"/>
      <c r="J267" s="620"/>
      <c r="K267" s="139"/>
      <c r="L267" s="37"/>
      <c r="M267" s="326"/>
    </row>
    <row r="268" spans="1:13" ht="21" hidden="1" customHeight="1">
      <c r="A268" s="57"/>
      <c r="B268" s="58"/>
      <c r="C268" s="261"/>
      <c r="D268" s="215"/>
      <c r="E268" s="737" t="s">
        <v>342</v>
      </c>
      <c r="F268" s="623"/>
      <c r="G268" s="763"/>
      <c r="H268" s="166"/>
      <c r="I268" s="623"/>
      <c r="J268" s="620"/>
      <c r="K268" s="139"/>
      <c r="L268" s="37"/>
      <c r="M268" s="326"/>
    </row>
    <row r="269" spans="1:13" ht="21" hidden="1" customHeight="1">
      <c r="A269" s="57"/>
      <c r="B269" s="58"/>
      <c r="C269" s="261"/>
      <c r="D269" s="215"/>
      <c r="E269" s="737" t="s">
        <v>342</v>
      </c>
      <c r="F269" s="623"/>
      <c r="G269" s="763"/>
      <c r="H269" s="166"/>
      <c r="I269" s="623"/>
      <c r="J269" s="620"/>
      <c r="K269" s="139"/>
      <c r="L269" s="37"/>
      <c r="M269" s="326"/>
    </row>
    <row r="270" spans="1:13" ht="56.4" hidden="1" customHeight="1">
      <c r="A270" s="57"/>
      <c r="B270" s="58"/>
      <c r="C270" s="261"/>
      <c r="D270" s="215"/>
      <c r="E270" s="737" t="s">
        <v>342</v>
      </c>
      <c r="F270" s="623"/>
      <c r="G270" s="763"/>
      <c r="H270" s="166"/>
      <c r="I270" s="623"/>
      <c r="J270" s="620"/>
      <c r="K270" s="139"/>
      <c r="L270" s="37"/>
      <c r="M270" s="326"/>
    </row>
    <row r="271" spans="1:13" ht="21" customHeight="1">
      <c r="A271" s="57" t="s">
        <v>115</v>
      </c>
      <c r="B271" s="57" t="s">
        <v>191</v>
      </c>
      <c r="C271" s="261"/>
      <c r="D271" s="341">
        <v>46295</v>
      </c>
      <c r="E271" s="731" t="s">
        <v>344</v>
      </c>
      <c r="F271" s="378">
        <v>30000</v>
      </c>
      <c r="G271" s="697">
        <f>Tracking_SI5[[#This Row],[Còn lại so với ĐH]]/Tracking_SI5[[#This Row],[Số  lượng trên ĐH]]</f>
        <v>1</v>
      </c>
      <c r="H271" s="378">
        <f>SUM(H272:H276)</f>
        <v>0</v>
      </c>
      <c r="I271" s="378">
        <f>Tracking_SI5[[#This Row],[Số  lượng trên ĐH]]-Tracking_SI5[[#This Row],[Số  lượng giao]]</f>
        <v>30000</v>
      </c>
      <c r="J271" s="636"/>
      <c r="K271" s="139"/>
      <c r="L271" s="37"/>
      <c r="M271" s="326"/>
    </row>
    <row r="272" spans="1:13" ht="21" hidden="1" customHeight="1">
      <c r="A272" s="57"/>
      <c r="B272" s="57" t="s">
        <v>191</v>
      </c>
      <c r="C272" s="773"/>
      <c r="D272" s="215"/>
      <c r="E272" s="737" t="s">
        <v>344</v>
      </c>
      <c r="F272" s="623"/>
      <c r="G272" s="763"/>
      <c r="H272" s="166"/>
      <c r="I272" s="774"/>
      <c r="J272" s="620"/>
      <c r="K272" s="139"/>
      <c r="L272" s="37"/>
      <c r="M272" s="326"/>
    </row>
    <row r="273" spans="1:13" ht="21" hidden="1" customHeight="1">
      <c r="A273" s="57"/>
      <c r="B273" s="57" t="s">
        <v>191</v>
      </c>
      <c r="C273" s="775"/>
      <c r="D273" s="215"/>
      <c r="E273" s="737" t="s">
        <v>344</v>
      </c>
      <c r="F273" s="623"/>
      <c r="G273" s="763"/>
      <c r="H273" s="166"/>
      <c r="I273" s="774"/>
      <c r="J273" s="620"/>
      <c r="K273" s="139"/>
      <c r="L273" s="37"/>
      <c r="M273" s="326"/>
    </row>
    <row r="274" spans="1:13" ht="21" hidden="1" customHeight="1">
      <c r="A274" s="57"/>
      <c r="B274" s="57" t="s">
        <v>191</v>
      </c>
      <c r="C274" s="775"/>
      <c r="D274" s="215"/>
      <c r="E274" s="737" t="s">
        <v>344</v>
      </c>
      <c r="F274" s="623"/>
      <c r="G274" s="763"/>
      <c r="H274" s="166"/>
      <c r="I274" s="774"/>
      <c r="J274" s="620"/>
      <c r="K274" s="139"/>
      <c r="L274" s="37"/>
      <c r="M274" s="326"/>
    </row>
    <row r="275" spans="1:13" ht="21" hidden="1" customHeight="1">
      <c r="A275" s="57"/>
      <c r="B275" s="57" t="s">
        <v>191</v>
      </c>
      <c r="C275" s="775"/>
      <c r="D275" s="215"/>
      <c r="E275" s="737" t="s">
        <v>344</v>
      </c>
      <c r="F275" s="623"/>
      <c r="G275" s="763"/>
      <c r="H275" s="166"/>
      <c r="I275" s="774"/>
      <c r="J275" s="620"/>
      <c r="K275" s="139"/>
      <c r="L275" s="37"/>
      <c r="M275" s="326"/>
    </row>
    <row r="276" spans="1:13" ht="21" hidden="1" customHeight="1">
      <c r="A276" s="57"/>
      <c r="B276" s="57" t="s">
        <v>191</v>
      </c>
      <c r="C276" s="312"/>
      <c r="D276" s="108"/>
      <c r="E276" s="737" t="s">
        <v>344</v>
      </c>
      <c r="F276" s="625"/>
      <c r="G276" s="326"/>
      <c r="H276" s="166"/>
      <c r="I276" s="771"/>
      <c r="J276" s="772"/>
      <c r="K276" s="139"/>
      <c r="L276" s="37"/>
    </row>
    <row r="277" spans="1:13" ht="21" customHeight="1">
      <c r="A277" s="58" t="s">
        <v>106</v>
      </c>
      <c r="B277" s="73" t="s">
        <v>187</v>
      </c>
      <c r="C277" s="74" t="s">
        <v>188</v>
      </c>
      <c r="D277" s="117"/>
      <c r="E277" s="308"/>
      <c r="F277" s="79"/>
      <c r="G277" s="323" t="e">
        <f>Tracking_SI5[[#This Row],[Còn lại so với ĐH]]/Tracking_SI5[[#This Row],[Số  lượng trên ĐH]]</f>
        <v>#DIV/0!</v>
      </c>
      <c r="H277" s="337"/>
      <c r="I277" s="204"/>
      <c r="J277" s="77"/>
      <c r="K277" s="136"/>
      <c r="L277" s="77"/>
    </row>
    <row r="278" spans="1:13" ht="21" hidden="1" customHeight="1">
      <c r="A278" s="57"/>
      <c r="B278" s="57" t="s">
        <v>187</v>
      </c>
      <c r="C278" s="46"/>
      <c r="D278" s="116"/>
      <c r="E278" s="30"/>
      <c r="F278" s="169"/>
      <c r="G278" s="323" t="e">
        <f>Tracking_SI5[[#This Row],[Còn lại so với ĐH]]/Tracking_SI5[[#This Row],[Số  lượng trên ĐH]]</f>
        <v>#DIV/0!</v>
      </c>
      <c r="H278" s="164"/>
      <c r="I278" s="619"/>
      <c r="J278" s="164"/>
      <c r="K278" s="130"/>
      <c r="L278" s="26"/>
    </row>
    <row r="279" spans="1:13" ht="21" hidden="1" customHeight="1">
      <c r="A279" s="57"/>
      <c r="B279" s="57" t="s">
        <v>187</v>
      </c>
      <c r="C279" s="46"/>
      <c r="D279" s="116"/>
      <c r="E279" s="30"/>
      <c r="F279" s="169"/>
      <c r="G279" s="323" t="e">
        <f>Tracking_SI5[[#This Row],[Còn lại so với ĐH]]/Tracking_SI5[[#This Row],[Số  lượng trên ĐH]]</f>
        <v>#DIV/0!</v>
      </c>
      <c r="H279" s="164"/>
      <c r="I279" s="619"/>
      <c r="J279" s="164"/>
      <c r="K279" s="130"/>
      <c r="L279" s="26"/>
    </row>
    <row r="280" spans="1:13" ht="21" hidden="1" customHeight="1">
      <c r="A280" s="57"/>
      <c r="B280" s="57" t="s">
        <v>187</v>
      </c>
      <c r="C280" s="46"/>
      <c r="D280" s="116"/>
      <c r="E280" s="30"/>
      <c r="F280" s="164"/>
      <c r="G280" s="323" t="e">
        <f>Tracking_SI5[[#This Row],[Còn lại so với ĐH]]/Tracking_SI5[[#This Row],[Số  lượng trên ĐH]]</f>
        <v>#DIV/0!</v>
      </c>
      <c r="H280" s="164"/>
      <c r="I280" s="619"/>
      <c r="J280" s="164"/>
      <c r="K280" s="130"/>
      <c r="L280" s="26"/>
    </row>
    <row r="281" spans="1:13" ht="21" hidden="1" customHeight="1">
      <c r="A281" s="57"/>
      <c r="B281" s="57" t="s">
        <v>187</v>
      </c>
      <c r="C281" s="46"/>
      <c r="D281" s="108"/>
      <c r="E281" s="30"/>
      <c r="F281" s="164"/>
      <c r="G281" s="326" t="e">
        <f>Tracking_SI5[[#This Row],[Còn lại so với ĐH]]/Tracking_SI5[[#This Row],[Số  lượng trên ĐH]]</f>
        <v>#DIV/0!</v>
      </c>
      <c r="H281" s="164"/>
      <c r="I281" s="354"/>
      <c r="J281" s="164"/>
      <c r="K281" s="131"/>
      <c r="L281" s="26"/>
    </row>
    <row r="282" spans="1:13" ht="21" customHeight="1">
      <c r="A282" s="58" t="s">
        <v>106</v>
      </c>
      <c r="B282" s="73" t="s">
        <v>120</v>
      </c>
      <c r="C282" s="74" t="s">
        <v>124</v>
      </c>
      <c r="D282" s="117"/>
      <c r="E282" s="308"/>
      <c r="F282" s="79"/>
      <c r="G282" s="323" t="e">
        <f>Tracking_SI5[[#This Row],[Còn lại so với ĐH]]/Tracking_SI5[[#This Row],[Số  lượng trên ĐH]]</f>
        <v>#DIV/0!</v>
      </c>
      <c r="H282" s="220"/>
      <c r="I282" s="204"/>
      <c r="J282" s="77"/>
      <c r="K282" s="136"/>
      <c r="L282" s="77"/>
    </row>
    <row r="283" spans="1:13" ht="21.75" customHeight="1">
      <c r="A283" s="57" t="s">
        <v>115</v>
      </c>
      <c r="B283" s="421" t="s">
        <v>120</v>
      </c>
      <c r="C283" s="153"/>
      <c r="D283" s="113">
        <v>46077</v>
      </c>
      <c r="E283" s="299" t="s">
        <v>209</v>
      </c>
      <c r="F283" s="365">
        <v>10000</v>
      </c>
      <c r="G283" s="326">
        <f>Tracking_SI5[[#This Row],[Còn lại so với ĐH]]/Tracking_SI5[[#This Row],[Số  lượng trên ĐH]]</f>
        <v>-9.4000000000000004E-3</v>
      </c>
      <c r="H283" s="365">
        <f>SUM(H284)</f>
        <v>10094</v>
      </c>
      <c r="I283" s="365">
        <f>Tracking_SI5[[#This Row],[Số  lượng trên ĐH]]-Tracking_SI5[[#This Row],[Số  lượng giao]]</f>
        <v>-94</v>
      </c>
      <c r="J283" s="338"/>
      <c r="K283" s="138" t="s">
        <v>116</v>
      </c>
      <c r="L283" s="37"/>
    </row>
    <row r="284" spans="1:13" ht="21.75" hidden="1" customHeight="1">
      <c r="A284" s="57"/>
      <c r="B284" s="57" t="s">
        <v>120</v>
      </c>
      <c r="C284" s="153"/>
      <c r="D284" s="108" t="s">
        <v>262</v>
      </c>
      <c r="E284" s="364" t="s">
        <v>209</v>
      </c>
      <c r="F284" s="221"/>
      <c r="G284" s="326" t="e">
        <f>Tracking_SI5[[#This Row],[Còn lại so với ĐH]]/Tracking_SI5[[#This Row],[Số  lượng trên ĐH]]</f>
        <v>#DIV/0!</v>
      </c>
      <c r="H284" s="164">
        <v>10094</v>
      </c>
      <c r="I284" s="619"/>
      <c r="J284" s="618"/>
      <c r="K284" s="139" t="s">
        <v>118</v>
      </c>
      <c r="L284" s="37"/>
    </row>
    <row r="285" spans="1:13" ht="21.75" customHeight="1">
      <c r="A285" s="57" t="s">
        <v>115</v>
      </c>
      <c r="B285" s="57" t="s">
        <v>120</v>
      </c>
      <c r="C285" s="153"/>
      <c r="D285" s="341">
        <v>46183</v>
      </c>
      <c r="E285" s="342" t="s">
        <v>278</v>
      </c>
      <c r="F285" s="343">
        <v>15000</v>
      </c>
      <c r="G285" s="326">
        <f>Tracking_SI5[[#This Row],[Còn lại so với ĐH]]/Tracking_SI5[[#This Row],[Số  lượng trên ĐH]]</f>
        <v>0.26866666666666666</v>
      </c>
      <c r="H285" s="343">
        <f>SUM(H286:H293)</f>
        <v>10970</v>
      </c>
      <c r="I285" s="378">
        <f>Tracking_SI5[[#This Row],[Số  lượng trên ĐH]]-Tracking_SI5[[#This Row],[Số  lượng giao]]</f>
        <v>4030</v>
      </c>
      <c r="J285" s="603">
        <v>43700</v>
      </c>
      <c r="K285" s="356"/>
      <c r="L285" s="37"/>
    </row>
    <row r="286" spans="1:13" ht="21.75" hidden="1" customHeight="1">
      <c r="A286" s="57"/>
      <c r="B286" s="57" t="s">
        <v>120</v>
      </c>
      <c r="C286" s="153"/>
      <c r="D286" s="108">
        <v>46207</v>
      </c>
      <c r="E286" s="30" t="s">
        <v>278</v>
      </c>
      <c r="F286" s="221"/>
      <c r="G286" s="326" t="e">
        <f>Tracking_SI5[[#This Row],[Còn lại so với ĐH]]/Tracking_SI5[[#This Row],[Số  lượng trên ĐH]]</f>
        <v>#DIV/0!</v>
      </c>
      <c r="H286" s="164">
        <v>2757</v>
      </c>
      <c r="I286" s="619"/>
      <c r="J286" s="618"/>
      <c r="K286" s="139"/>
      <c r="L286" s="37"/>
    </row>
    <row r="287" spans="1:13" ht="21.75" hidden="1" customHeight="1">
      <c r="A287" s="57"/>
      <c r="B287" s="57" t="s">
        <v>120</v>
      </c>
      <c r="C287" s="153"/>
      <c r="D287" s="108">
        <v>46218</v>
      </c>
      <c r="E287" s="30" t="s">
        <v>278</v>
      </c>
      <c r="F287" s="221"/>
      <c r="G287" s="326" t="e">
        <f>Tracking_SI5[[#This Row],[Còn lại so với ĐH]]/Tracking_SI5[[#This Row],[Số  lượng trên ĐH]]</f>
        <v>#DIV/0!</v>
      </c>
      <c r="H287" s="166">
        <v>2738</v>
      </c>
      <c r="I287" s="619"/>
      <c r="J287" s="618"/>
      <c r="K287" s="139"/>
      <c r="L287" s="37"/>
    </row>
    <row r="288" spans="1:13" ht="21.75" hidden="1" customHeight="1">
      <c r="A288" s="57"/>
      <c r="B288" s="57" t="s">
        <v>120</v>
      </c>
      <c r="C288" s="153"/>
      <c r="D288" s="108">
        <v>46221</v>
      </c>
      <c r="E288" s="30" t="s">
        <v>278</v>
      </c>
      <c r="F288" s="221"/>
      <c r="G288" s="326" t="e">
        <f>Tracking_SI5[[#This Row],[Còn lại so với ĐH]]/Tracking_SI5[[#This Row],[Số  lượng trên ĐH]]</f>
        <v>#DIV/0!</v>
      </c>
      <c r="H288" s="166">
        <v>799</v>
      </c>
      <c r="I288" s="619"/>
      <c r="J288" s="618"/>
      <c r="K288" s="139"/>
      <c r="L288" s="37"/>
    </row>
    <row r="289" spans="1:12" ht="21.75" hidden="1" customHeight="1">
      <c r="A289" s="57"/>
      <c r="B289" s="57" t="s">
        <v>120</v>
      </c>
      <c r="C289" s="153"/>
      <c r="D289" s="108">
        <v>46225</v>
      </c>
      <c r="E289" s="30" t="s">
        <v>278</v>
      </c>
      <c r="F289" s="221"/>
      <c r="G289" s="326" t="e">
        <f>Tracking_SI5[[#This Row],[Còn lại so với ĐH]]/Tracking_SI5[[#This Row],[Số  lượng trên ĐH]]</f>
        <v>#DIV/0!</v>
      </c>
      <c r="H289" s="166">
        <v>398</v>
      </c>
      <c r="I289" s="619"/>
      <c r="J289" s="618"/>
      <c r="K289" s="139"/>
      <c r="L289" s="37"/>
    </row>
    <row r="290" spans="1:12" ht="21.75" hidden="1" customHeight="1">
      <c r="A290" s="57"/>
      <c r="B290" s="57" t="s">
        <v>120</v>
      </c>
      <c r="C290" s="153"/>
      <c r="D290" s="108">
        <v>46230</v>
      </c>
      <c r="E290" s="30" t="s">
        <v>278</v>
      </c>
      <c r="F290" s="221"/>
      <c r="G290" s="326" t="e">
        <f>Tracking_SI5[[#This Row],[Còn lại so với ĐH]]/Tracking_SI5[[#This Row],[Số  lượng trên ĐH]]</f>
        <v>#DIV/0!</v>
      </c>
      <c r="H290" s="166">
        <v>1586</v>
      </c>
      <c r="I290" s="619"/>
      <c r="J290" s="618"/>
      <c r="K290" s="139"/>
      <c r="L290" s="37"/>
    </row>
    <row r="291" spans="1:12" ht="21.75" hidden="1" customHeight="1">
      <c r="A291" s="57"/>
      <c r="B291" s="57" t="s">
        <v>120</v>
      </c>
      <c r="C291" s="153"/>
      <c r="D291" s="108">
        <v>46246</v>
      </c>
      <c r="E291" s="30" t="s">
        <v>278</v>
      </c>
      <c r="F291" s="221"/>
      <c r="G291" s="326" t="e">
        <f>Tracking_SI5[[#This Row],[Còn lại so với ĐH]]/Tracking_SI5[[#This Row],[Số  lượng trên ĐH]]</f>
        <v>#DIV/0!</v>
      </c>
      <c r="H291" s="166">
        <v>2692</v>
      </c>
      <c r="I291" s="619"/>
      <c r="J291" s="618"/>
      <c r="K291" s="139"/>
      <c r="L291" s="37"/>
    </row>
    <row r="292" spans="1:12" ht="21.75" hidden="1" customHeight="1">
      <c r="A292" s="57"/>
      <c r="B292" s="57" t="s">
        <v>120</v>
      </c>
      <c r="C292" s="153"/>
      <c r="D292" s="108"/>
      <c r="E292" s="30" t="s">
        <v>278</v>
      </c>
      <c r="F292" s="221"/>
      <c r="G292" s="326" t="e">
        <f>Tracking_SI5[[#This Row],[Còn lại so với ĐH]]/Tracking_SI5[[#This Row],[Số  lượng trên ĐH]]</f>
        <v>#DIV/0!</v>
      </c>
      <c r="H292" s="166"/>
      <c r="I292" s="619"/>
      <c r="J292" s="618"/>
      <c r="K292" s="139"/>
      <c r="L292" s="37"/>
    </row>
    <row r="293" spans="1:12" ht="21.75" hidden="1" customHeight="1">
      <c r="A293" s="57"/>
      <c r="B293" s="57" t="s">
        <v>120</v>
      </c>
      <c r="C293" s="153"/>
      <c r="D293" s="108"/>
      <c r="E293" s="30" t="s">
        <v>278</v>
      </c>
      <c r="F293" s="221"/>
      <c r="G293" s="326" t="e">
        <f>Tracking_SI5[[#This Row],[Còn lại so với ĐH]]/Tracking_SI5[[#This Row],[Số  lượng trên ĐH]]</f>
        <v>#DIV/0!</v>
      </c>
      <c r="H293" s="166"/>
      <c r="I293" s="619"/>
      <c r="J293" s="618"/>
      <c r="K293" s="139"/>
      <c r="L293" s="37"/>
    </row>
    <row r="294" spans="1:12" ht="21.75" customHeight="1">
      <c r="A294" s="58" t="s">
        <v>106</v>
      </c>
      <c r="B294" s="73" t="s">
        <v>162</v>
      </c>
      <c r="C294" s="74" t="s">
        <v>163</v>
      </c>
      <c r="D294" s="117"/>
      <c r="E294" s="308"/>
      <c r="F294" s="75"/>
      <c r="G294" s="323" t="e">
        <f>Tracking_SI5[[#This Row],[Còn lại so với ĐH]]/Tracking_SI5[[#This Row],[Số  lượng trên ĐH]]</f>
        <v>#DIV/0!</v>
      </c>
      <c r="H294" s="352"/>
      <c r="I294" s="204"/>
      <c r="J294" s="78"/>
      <c r="K294" s="137"/>
      <c r="L294" s="77"/>
    </row>
    <row r="295" spans="1:12" ht="21.75" customHeight="1">
      <c r="A295" s="558" t="s">
        <v>115</v>
      </c>
      <c r="B295" s="558" t="s">
        <v>162</v>
      </c>
      <c r="C295" s="496"/>
      <c r="D295" s="341"/>
      <c r="E295" s="342" t="s">
        <v>279</v>
      </c>
      <c r="F295" s="343">
        <v>18000</v>
      </c>
      <c r="G295" s="326">
        <f>Tracking_SI5[[#This Row],[Còn lại so với ĐH]]/Tracking_SI5[[#This Row],[Số  lượng trên ĐH]]</f>
        <v>0.26466666666666666</v>
      </c>
      <c r="H295" s="343">
        <f>SUM(H296:H301)</f>
        <v>13236</v>
      </c>
      <c r="I295" s="602">
        <f>Tracking_SI5[[#This Row],[Số  lượng trên ĐH]]-Tracking_SI5[[#This Row],[Số  lượng giao]]</f>
        <v>4764</v>
      </c>
      <c r="J295" s="603">
        <v>44900</v>
      </c>
      <c r="K295" s="133"/>
      <c r="L295" s="37"/>
    </row>
    <row r="296" spans="1:12" ht="21.75" hidden="1" customHeight="1">
      <c r="A296" s="57"/>
      <c r="B296" s="57" t="s">
        <v>162</v>
      </c>
      <c r="C296" s="48"/>
      <c r="D296" s="108">
        <v>46200</v>
      </c>
      <c r="E296" s="30" t="s">
        <v>279</v>
      </c>
      <c r="F296" s="164"/>
      <c r="G296" s="326" t="e">
        <f>Tracking_SI5[[#This Row],[Còn lại so với ĐH]]/Tracking_SI5[[#This Row],[Số  lượng trên ĐH]]</f>
        <v>#DIV/0!</v>
      </c>
      <c r="H296" s="164">
        <v>2978</v>
      </c>
      <c r="I296" s="606"/>
      <c r="J296" s="618"/>
      <c r="K296" s="139"/>
      <c r="L296" s="37"/>
    </row>
    <row r="297" spans="1:12" ht="21.75" hidden="1" customHeight="1">
      <c r="A297" s="57"/>
      <c r="B297" s="57" t="s">
        <v>162</v>
      </c>
      <c r="C297" s="152"/>
      <c r="D297" s="116">
        <v>46207</v>
      </c>
      <c r="E297" s="30" t="s">
        <v>279</v>
      </c>
      <c r="F297" s="166"/>
      <c r="G297" s="326" t="e">
        <f>Tracking_SI5[[#This Row],[Còn lại so với ĐH]]/Tracking_SI5[[#This Row],[Số  lượng trên ĐH]]</f>
        <v>#DIV/0!</v>
      </c>
      <c r="H297" s="166">
        <v>3713</v>
      </c>
      <c r="I297" s="606"/>
      <c r="J297" s="618"/>
      <c r="K297" s="139"/>
      <c r="L297" s="37"/>
    </row>
    <row r="298" spans="1:12" ht="21.75" hidden="1" customHeight="1">
      <c r="A298" s="57"/>
      <c r="B298" s="57" t="s">
        <v>162</v>
      </c>
      <c r="C298" s="152"/>
      <c r="D298" s="116">
        <v>46218</v>
      </c>
      <c r="E298" s="30" t="s">
        <v>279</v>
      </c>
      <c r="F298" s="166"/>
      <c r="G298" s="326" t="e">
        <f>Tracking_SI5[[#This Row],[Còn lại so với ĐH]]/Tracking_SI5[[#This Row],[Số  lượng trên ĐH]]</f>
        <v>#DIV/0!</v>
      </c>
      <c r="H298" s="166">
        <v>1284</v>
      </c>
      <c r="I298" s="606"/>
      <c r="J298" s="618"/>
      <c r="K298" s="139"/>
      <c r="L298" s="37"/>
    </row>
    <row r="299" spans="1:12" ht="21.75" hidden="1" customHeight="1">
      <c r="A299" s="57" t="s">
        <v>118</v>
      </c>
      <c r="B299" s="57" t="s">
        <v>162</v>
      </c>
      <c r="C299" s="152"/>
      <c r="D299" s="116">
        <v>46251</v>
      </c>
      <c r="E299" s="30" t="s">
        <v>279</v>
      </c>
      <c r="F299" s="166"/>
      <c r="G299" s="326" t="e">
        <f>Tracking_SI5[[#This Row],[Còn lại so với ĐH]]/Tracking_SI5[[#This Row],[Số  lượng trên ĐH]]</f>
        <v>#DIV/0!</v>
      </c>
      <c r="H299" s="166">
        <v>5261</v>
      </c>
      <c r="I299" s="606"/>
      <c r="J299" s="618"/>
      <c r="K299" s="139"/>
      <c r="L299" s="37"/>
    </row>
    <row r="300" spans="1:12" ht="21.75" hidden="1" customHeight="1">
      <c r="A300" s="57"/>
      <c r="B300" s="57" t="s">
        <v>162</v>
      </c>
      <c r="C300" s="152"/>
      <c r="D300" s="116"/>
      <c r="E300" s="30" t="s">
        <v>279</v>
      </c>
      <c r="F300" s="166"/>
      <c r="G300" s="326" t="e">
        <f>Tracking_SI5[[#This Row],[Còn lại so với ĐH]]/Tracking_SI5[[#This Row],[Số  lượng trên ĐH]]</f>
        <v>#DIV/0!</v>
      </c>
      <c r="H300" s="166"/>
      <c r="I300" s="606"/>
      <c r="J300" s="618"/>
      <c r="K300" s="139"/>
      <c r="L300" s="37"/>
    </row>
    <row r="301" spans="1:12" ht="21.75" hidden="1" customHeight="1">
      <c r="A301" s="57"/>
      <c r="B301" s="57" t="s">
        <v>162</v>
      </c>
      <c r="C301" s="152"/>
      <c r="D301" s="116"/>
      <c r="E301" s="30" t="s">
        <v>279</v>
      </c>
      <c r="F301" s="169"/>
      <c r="G301" s="323" t="e">
        <f>Tracking_SI5[[#This Row],[Còn lại so với ĐH]]/Tracking_SI5[[#This Row],[Số  lượng trên ĐH]]</f>
        <v>#DIV/0!</v>
      </c>
      <c r="H301" s="166"/>
      <c r="I301" s="606"/>
      <c r="J301" s="618"/>
      <c r="K301" s="139"/>
      <c r="L301" s="37"/>
    </row>
    <row r="302" spans="1:12" ht="21.75" customHeight="1">
      <c r="A302" s="58" t="s">
        <v>106</v>
      </c>
      <c r="B302" s="73" t="s">
        <v>50</v>
      </c>
      <c r="C302" s="74" t="s">
        <v>299</v>
      </c>
      <c r="D302" s="117"/>
      <c r="E302" s="738"/>
      <c r="F302" s="75"/>
      <c r="G302" s="726"/>
      <c r="H302" s="553"/>
      <c r="I302" s="204"/>
      <c r="J302" s="78"/>
      <c r="K302" s="137"/>
      <c r="L302" s="77"/>
    </row>
    <row r="303" spans="1:12" ht="21.75" customHeight="1">
      <c r="A303" s="57" t="s">
        <v>115</v>
      </c>
      <c r="B303" s="421" t="s">
        <v>50</v>
      </c>
      <c r="C303" s="153"/>
      <c r="D303" s="113">
        <v>46086</v>
      </c>
      <c r="E303" s="739" t="s">
        <v>212</v>
      </c>
      <c r="F303" s="165">
        <v>20000</v>
      </c>
      <c r="G303" s="756">
        <f>Tracking_SI5[[#This Row],[Còn lại so với ĐH]]/Tracking_SI5[[#This Row],[Số  lượng trên ĐH]]</f>
        <v>0</v>
      </c>
      <c r="H303" s="365">
        <f>SUM(H304:H309)</f>
        <v>20000</v>
      </c>
      <c r="I303" s="365">
        <f>Tracking_SI5[[#This Row],[Số  lượng trên ĐH]]-Tracking_SI5[[#This Row],[Số  lượng giao]]</f>
        <v>0</v>
      </c>
      <c r="J303" s="338">
        <v>34900</v>
      </c>
      <c r="K303" s="127" t="s">
        <v>116</v>
      </c>
      <c r="L303" s="36"/>
    </row>
    <row r="304" spans="1:12" ht="21.75" hidden="1" customHeight="1">
      <c r="A304" s="57"/>
      <c r="B304" s="57" t="s">
        <v>50</v>
      </c>
      <c r="C304" s="153"/>
      <c r="D304" s="116" t="s">
        <v>262</v>
      </c>
      <c r="E304" s="737" t="s">
        <v>212</v>
      </c>
      <c r="F304" s="169"/>
      <c r="G304" s="323"/>
      <c r="H304" s="169">
        <v>2457</v>
      </c>
      <c r="I304" s="354"/>
      <c r="J304" s="618"/>
      <c r="K304" s="138" t="s">
        <v>118</v>
      </c>
      <c r="L304" s="1"/>
    </row>
    <row r="305" spans="1:15" ht="21.75" hidden="1" customHeight="1">
      <c r="A305" s="57"/>
      <c r="B305" s="57" t="s">
        <v>50</v>
      </c>
      <c r="C305" s="153"/>
      <c r="D305" s="116">
        <v>46141</v>
      </c>
      <c r="E305" s="735" t="s">
        <v>212</v>
      </c>
      <c r="F305" s="626"/>
      <c r="G305" s="323"/>
      <c r="H305" s="166">
        <v>2695</v>
      </c>
      <c r="I305" s="619"/>
      <c r="J305" s="618"/>
      <c r="K305" s="138" t="s">
        <v>118</v>
      </c>
      <c r="L305" s="37"/>
    </row>
    <row r="306" spans="1:15" ht="25.5" hidden="1" customHeight="1">
      <c r="A306" s="57"/>
      <c r="B306" s="57" t="s">
        <v>50</v>
      </c>
      <c r="C306" s="153"/>
      <c r="D306" s="116">
        <v>46148</v>
      </c>
      <c r="E306" s="737" t="s">
        <v>212</v>
      </c>
      <c r="F306" s="169"/>
      <c r="G306" s="323"/>
      <c r="H306" s="169">
        <v>1617</v>
      </c>
      <c r="I306" s="619"/>
      <c r="J306" s="618"/>
      <c r="K306" s="138" t="s">
        <v>118</v>
      </c>
      <c r="L306" s="37"/>
    </row>
    <row r="307" spans="1:15" ht="25.5" hidden="1" customHeight="1">
      <c r="A307" s="57"/>
      <c r="B307" s="57" t="s">
        <v>50</v>
      </c>
      <c r="C307" s="153"/>
      <c r="D307" s="116">
        <v>46151</v>
      </c>
      <c r="E307" s="735" t="s">
        <v>212</v>
      </c>
      <c r="F307" s="169"/>
      <c r="G307" s="323"/>
      <c r="H307" s="169">
        <v>4046</v>
      </c>
      <c r="I307" s="619"/>
      <c r="J307" s="618"/>
      <c r="K307" s="138" t="s">
        <v>118</v>
      </c>
      <c r="L307" s="37"/>
    </row>
    <row r="308" spans="1:15" ht="25.5" hidden="1" customHeight="1">
      <c r="A308" s="57"/>
      <c r="B308" s="57" t="s">
        <v>50</v>
      </c>
      <c r="C308" s="153"/>
      <c r="D308" s="108">
        <v>46155</v>
      </c>
      <c r="E308" s="735" t="s">
        <v>212</v>
      </c>
      <c r="F308" s="169"/>
      <c r="G308" s="323"/>
      <c r="H308" s="625">
        <v>2937</v>
      </c>
      <c r="I308" s="619"/>
      <c r="J308" s="618"/>
      <c r="K308" s="138" t="s">
        <v>118</v>
      </c>
      <c r="L308" s="37"/>
    </row>
    <row r="309" spans="1:15" ht="25.5" hidden="1" customHeight="1">
      <c r="A309" s="57"/>
      <c r="B309" s="57" t="s">
        <v>50</v>
      </c>
      <c r="C309" s="153"/>
      <c r="D309" s="116">
        <v>46157</v>
      </c>
      <c r="E309" s="735" t="s">
        <v>212</v>
      </c>
      <c r="F309" s="169"/>
      <c r="G309" s="323"/>
      <c r="H309" s="169">
        <v>6248</v>
      </c>
      <c r="I309" s="619"/>
      <c r="J309" s="618"/>
      <c r="K309" s="138" t="s">
        <v>118</v>
      </c>
      <c r="L309" s="37"/>
    </row>
    <row r="310" spans="1:15" ht="21.75" customHeight="1">
      <c r="A310" s="57" t="s">
        <v>115</v>
      </c>
      <c r="B310" s="421" t="s">
        <v>50</v>
      </c>
      <c r="C310" s="153"/>
      <c r="D310" s="341">
        <v>46140</v>
      </c>
      <c r="E310" s="740" t="s">
        <v>263</v>
      </c>
      <c r="F310" s="343">
        <v>20000</v>
      </c>
      <c r="G310" s="697">
        <f>Tracking_SI5[[#This Row],[Còn lại so với ĐH]]/Tracking_SI5[[#This Row],[Số  lượng trên ĐH]]</f>
        <v>0</v>
      </c>
      <c r="H310" s="378">
        <f>SUM(H311:H318)</f>
        <v>20000</v>
      </c>
      <c r="I310" s="636">
        <f>Tracking_SI5[[#This Row],[Số  lượng trên ĐH]]-Tracking_SI5[[#This Row],[Số  lượng giao]]</f>
        <v>0</v>
      </c>
      <c r="J310" s="601">
        <v>46500</v>
      </c>
      <c r="K310" s="127" t="s">
        <v>116</v>
      </c>
      <c r="L310" s="32"/>
      <c r="O310" s="370"/>
    </row>
    <row r="311" spans="1:15" ht="21.75" hidden="1" customHeight="1">
      <c r="A311" s="58"/>
      <c r="B311" s="57" t="s">
        <v>50</v>
      </c>
      <c r="C311" s="110"/>
      <c r="D311" s="116">
        <v>46157</v>
      </c>
      <c r="E311" s="737" t="s">
        <v>263</v>
      </c>
      <c r="F311" s="172"/>
      <c r="G311" s="326"/>
      <c r="H311" s="628">
        <f>7373-H309</f>
        <v>1125</v>
      </c>
      <c r="I311" s="627"/>
      <c r="J311" s="624"/>
      <c r="K311" s="138" t="s">
        <v>118</v>
      </c>
      <c r="L311" s="36"/>
    </row>
    <row r="312" spans="1:15" ht="21.75" hidden="1" customHeight="1">
      <c r="A312" s="57"/>
      <c r="B312" s="57" t="s">
        <v>50</v>
      </c>
      <c r="C312" s="110"/>
      <c r="D312" s="108">
        <v>46161</v>
      </c>
      <c r="E312" s="737" t="s">
        <v>263</v>
      </c>
      <c r="F312" s="166"/>
      <c r="G312" s="323"/>
      <c r="H312" s="164">
        <v>275</v>
      </c>
      <c r="I312" s="606"/>
      <c r="J312" s="618"/>
      <c r="K312" s="138" t="s">
        <v>118</v>
      </c>
      <c r="L312" s="37"/>
    </row>
    <row r="313" spans="1:15" ht="21.75" hidden="1" customHeight="1">
      <c r="A313" s="57"/>
      <c r="B313" s="57" t="s">
        <v>50</v>
      </c>
      <c r="C313" s="110"/>
      <c r="D313" s="108">
        <v>46161</v>
      </c>
      <c r="E313" s="737" t="s">
        <v>263</v>
      </c>
      <c r="F313" s="166"/>
      <c r="G313" s="323"/>
      <c r="H313" s="164">
        <v>7065</v>
      </c>
      <c r="I313" s="606"/>
      <c r="J313" s="618"/>
      <c r="K313" s="138" t="s">
        <v>118</v>
      </c>
      <c r="L313" s="37"/>
    </row>
    <row r="314" spans="1:15" ht="21.75" hidden="1" customHeight="1">
      <c r="A314" s="57"/>
      <c r="B314" s="57" t="s">
        <v>50</v>
      </c>
      <c r="C314" s="110"/>
      <c r="D314" s="116">
        <v>46175</v>
      </c>
      <c r="E314" s="737" t="s">
        <v>263</v>
      </c>
      <c r="F314" s="166"/>
      <c r="G314" s="323"/>
      <c r="H314" s="166">
        <v>2721</v>
      </c>
      <c r="I314" s="606"/>
      <c r="J314" s="618"/>
      <c r="K314" s="138" t="s">
        <v>118</v>
      </c>
      <c r="L314" s="37"/>
    </row>
    <row r="315" spans="1:15" ht="21.75" hidden="1" customHeight="1">
      <c r="A315" s="57"/>
      <c r="B315" s="57" t="s">
        <v>50</v>
      </c>
      <c r="C315" s="110"/>
      <c r="D315" s="111">
        <v>46184</v>
      </c>
      <c r="E315" s="737" t="s">
        <v>263</v>
      </c>
      <c r="F315" s="166"/>
      <c r="G315" s="323"/>
      <c r="H315" s="166">
        <v>1917</v>
      </c>
      <c r="I315" s="606"/>
      <c r="J315" s="618"/>
      <c r="K315" s="138" t="s">
        <v>118</v>
      </c>
      <c r="L315" s="37"/>
    </row>
    <row r="316" spans="1:15" ht="21.75" hidden="1" customHeight="1">
      <c r="A316" s="57"/>
      <c r="B316" s="57" t="s">
        <v>50</v>
      </c>
      <c r="C316" s="110"/>
      <c r="D316" s="108">
        <v>46200</v>
      </c>
      <c r="E316" s="737" t="s">
        <v>263</v>
      </c>
      <c r="F316" s="166"/>
      <c r="G316" s="323"/>
      <c r="H316" s="166">
        <v>2174</v>
      </c>
      <c r="I316" s="606"/>
      <c r="J316" s="618"/>
      <c r="K316" s="138" t="s">
        <v>118</v>
      </c>
      <c r="L316" s="37"/>
    </row>
    <row r="317" spans="1:15" ht="21.75" hidden="1" customHeight="1">
      <c r="A317" s="57"/>
      <c r="B317" s="57" t="s">
        <v>50</v>
      </c>
      <c r="C317" s="110"/>
      <c r="D317" s="111">
        <v>46239</v>
      </c>
      <c r="E317" s="737" t="s">
        <v>263</v>
      </c>
      <c r="F317" s="166"/>
      <c r="G317" s="323"/>
      <c r="H317" s="166">
        <v>3523</v>
      </c>
      <c r="I317" s="606"/>
      <c r="J317" s="618"/>
      <c r="K317" s="138" t="s">
        <v>118</v>
      </c>
      <c r="L317" s="37"/>
    </row>
    <row r="318" spans="1:15" ht="21.75" hidden="1" customHeight="1">
      <c r="A318" s="57"/>
      <c r="B318" s="57" t="s">
        <v>50</v>
      </c>
      <c r="C318" s="110"/>
      <c r="D318" s="288">
        <v>46241</v>
      </c>
      <c r="E318" s="737" t="s">
        <v>263</v>
      </c>
      <c r="F318" s="166"/>
      <c r="G318" s="323"/>
      <c r="H318" s="166">
        <v>1200</v>
      </c>
      <c r="I318" s="606"/>
      <c r="J318" s="618"/>
      <c r="K318" s="138" t="s">
        <v>118</v>
      </c>
      <c r="L318" s="37"/>
    </row>
    <row r="319" spans="1:15" ht="21.75" customHeight="1">
      <c r="A319" s="57" t="s">
        <v>115</v>
      </c>
      <c r="B319" s="57" t="s">
        <v>50</v>
      </c>
      <c r="C319" s="110"/>
      <c r="D319" s="765">
        <v>46149</v>
      </c>
      <c r="E319" s="766" t="s">
        <v>271</v>
      </c>
      <c r="F319" s="767">
        <v>20000</v>
      </c>
      <c r="G319" s="697">
        <f>Tracking_SI5[[#This Row],[Còn lại so với ĐH]]/Tracking_SI5[[#This Row],[Số  lượng trên ĐH]]</f>
        <v>1.5049999999999999E-2</v>
      </c>
      <c r="H319" s="768">
        <f>SUM(H320:H327)</f>
        <v>19699</v>
      </c>
      <c r="I319" s="768">
        <f>Tracking_SI5[[#This Row],[Số  lượng trên ĐH]]-Tracking_SI5[[#This Row],[Số  lượng giao]]</f>
        <v>301</v>
      </c>
      <c r="J319" s="769">
        <v>46500</v>
      </c>
      <c r="K319" s="770"/>
      <c r="L319" s="37"/>
    </row>
    <row r="320" spans="1:15" ht="21.75" hidden="1" customHeight="1">
      <c r="A320" s="57"/>
      <c r="B320" s="57" t="s">
        <v>50</v>
      </c>
      <c r="C320" s="110"/>
      <c r="D320" s="116">
        <v>46241</v>
      </c>
      <c r="E320" s="737" t="s">
        <v>271</v>
      </c>
      <c r="F320" s="164"/>
      <c r="G320" s="323"/>
      <c r="H320" s="164">
        <f>2731-H318</f>
        <v>1531</v>
      </c>
      <c r="I320" s="606"/>
      <c r="J320" s="618"/>
      <c r="K320" s="138"/>
      <c r="L320" s="37"/>
    </row>
    <row r="321" spans="1:13" ht="21.75" hidden="1" customHeight="1">
      <c r="A321" s="57"/>
      <c r="B321" s="57" t="s">
        <v>50</v>
      </c>
      <c r="C321" s="110"/>
      <c r="D321" s="116">
        <v>46244</v>
      </c>
      <c r="E321" s="737" t="s">
        <v>271</v>
      </c>
      <c r="F321" s="164"/>
      <c r="G321" s="323"/>
      <c r="H321" s="164">
        <v>2246</v>
      </c>
      <c r="I321" s="606"/>
      <c r="J321" s="618"/>
      <c r="K321" s="138" t="s">
        <v>118</v>
      </c>
      <c r="L321" s="37"/>
    </row>
    <row r="322" spans="1:13" ht="21.75" hidden="1" customHeight="1">
      <c r="A322" s="57"/>
      <c r="B322" s="57" t="s">
        <v>50</v>
      </c>
      <c r="C322" s="110"/>
      <c r="D322" s="116">
        <v>46246</v>
      </c>
      <c r="E322" s="737" t="s">
        <v>271</v>
      </c>
      <c r="F322" s="164"/>
      <c r="G322" s="323"/>
      <c r="H322" s="164">
        <v>2365</v>
      </c>
      <c r="I322" s="606"/>
      <c r="J322" s="618"/>
      <c r="K322" s="138" t="s">
        <v>118</v>
      </c>
      <c r="L322" s="37"/>
    </row>
    <row r="323" spans="1:13" ht="21.75" hidden="1" customHeight="1">
      <c r="A323" s="57"/>
      <c r="B323" s="57" t="s">
        <v>50</v>
      </c>
      <c r="C323" s="110"/>
      <c r="D323" s="116">
        <v>46273</v>
      </c>
      <c r="E323" s="737" t="s">
        <v>271</v>
      </c>
      <c r="F323" s="164"/>
      <c r="G323" s="323"/>
      <c r="H323" s="164">
        <v>3833</v>
      </c>
      <c r="I323" s="606"/>
      <c r="J323" s="618"/>
      <c r="K323" s="138" t="s">
        <v>118</v>
      </c>
      <c r="L323" s="37"/>
    </row>
    <row r="324" spans="1:13" ht="21.75" hidden="1" customHeight="1">
      <c r="A324" s="57"/>
      <c r="B324" s="57" t="s">
        <v>50</v>
      </c>
      <c r="C324" s="110"/>
      <c r="D324" s="116">
        <v>46276</v>
      </c>
      <c r="E324" s="737" t="s">
        <v>271</v>
      </c>
      <c r="F324" s="164"/>
      <c r="G324" s="323"/>
      <c r="H324" s="164">
        <v>2131</v>
      </c>
      <c r="I324" s="606"/>
      <c r="J324" s="618"/>
      <c r="K324" s="138" t="s">
        <v>118</v>
      </c>
      <c r="L324" s="37"/>
    </row>
    <row r="325" spans="1:13" ht="21.75" hidden="1" customHeight="1">
      <c r="A325" s="57"/>
      <c r="B325" s="57" t="s">
        <v>50</v>
      </c>
      <c r="C325" s="110"/>
      <c r="D325" s="116">
        <v>46280</v>
      </c>
      <c r="E325" s="734" t="s">
        <v>271</v>
      </c>
      <c r="F325" s="164"/>
      <c r="G325" s="323"/>
      <c r="H325" s="727">
        <v>2902</v>
      </c>
      <c r="I325" s="606"/>
      <c r="J325" s="618"/>
      <c r="K325" s="138" t="s">
        <v>118</v>
      </c>
      <c r="L325" s="37"/>
    </row>
    <row r="326" spans="1:13" ht="21.75" hidden="1" customHeight="1">
      <c r="A326" s="57"/>
      <c r="B326" s="57" t="s">
        <v>50</v>
      </c>
      <c r="C326" s="294"/>
      <c r="D326" s="116">
        <v>46294</v>
      </c>
      <c r="E326" s="734" t="s">
        <v>271</v>
      </c>
      <c r="F326" s="164"/>
      <c r="G326" s="763"/>
      <c r="H326" s="683">
        <v>2197</v>
      </c>
      <c r="I326" s="606"/>
      <c r="J326" s="618"/>
      <c r="K326" s="139" t="s">
        <v>118</v>
      </c>
      <c r="L326" s="37"/>
      <c r="M326" s="326"/>
    </row>
    <row r="327" spans="1:13" ht="21.75" hidden="1" customHeight="1">
      <c r="A327" s="57"/>
      <c r="B327" s="57" t="s">
        <v>50</v>
      </c>
      <c r="C327" s="781"/>
      <c r="D327" s="116">
        <v>46297</v>
      </c>
      <c r="E327" s="734" t="s">
        <v>271</v>
      </c>
      <c r="F327" s="164"/>
      <c r="G327" s="763"/>
      <c r="H327" s="683">
        <v>2494</v>
      </c>
      <c r="I327" s="606"/>
      <c r="J327" s="618"/>
      <c r="K327" s="139"/>
      <c r="L327" s="37"/>
      <c r="M327" s="326"/>
    </row>
    <row r="328" spans="1:13" ht="21.75" customHeight="1">
      <c r="A328" s="57" t="s">
        <v>115</v>
      </c>
      <c r="B328" s="57" t="s">
        <v>50</v>
      </c>
      <c r="C328" s="110"/>
      <c r="D328" s="341">
        <v>46277</v>
      </c>
      <c r="E328" s="731" t="s">
        <v>342</v>
      </c>
      <c r="F328" s="343">
        <v>16000</v>
      </c>
      <c r="G328" s="697">
        <f>Tracking_SI5[[#This Row],[Còn lại so với ĐH]]/Tracking_SI5[[#This Row],[Số  lượng trên ĐH]]</f>
        <v>0.74562499999999998</v>
      </c>
      <c r="H328" s="378">
        <f>SUM(H329:H331)</f>
        <v>4070</v>
      </c>
      <c r="I328" s="378">
        <f>Tracking_SI5[[#This Row],[Số  lượng trên ĐH]]-Tracking_SI5[[#This Row],[Số  lượng giao]]</f>
        <v>11930</v>
      </c>
      <c r="J328" s="601">
        <v>46000</v>
      </c>
      <c r="K328" s="356"/>
      <c r="L328" s="37"/>
    </row>
    <row r="329" spans="1:13" ht="21.75" hidden="1" customHeight="1">
      <c r="A329" s="57" t="s">
        <v>118</v>
      </c>
      <c r="B329" s="57" t="s">
        <v>50</v>
      </c>
      <c r="C329" s="294"/>
      <c r="D329" s="215">
        <v>46302</v>
      </c>
      <c r="E329" s="764" t="s">
        <v>342</v>
      </c>
      <c r="F329" s="349"/>
      <c r="G329" s="763"/>
      <c r="H329" s="166">
        <v>4070</v>
      </c>
      <c r="I329" s="623"/>
      <c r="J329" s="610"/>
      <c r="K329" s="133"/>
      <c r="L329" s="37"/>
      <c r="M329" s="326"/>
    </row>
    <row r="330" spans="1:13" ht="21.75" hidden="1" customHeight="1">
      <c r="A330" s="57"/>
      <c r="B330" s="57" t="s">
        <v>50</v>
      </c>
      <c r="C330" s="294"/>
      <c r="D330" s="215"/>
      <c r="E330" s="764" t="s">
        <v>342</v>
      </c>
      <c r="F330" s="349"/>
      <c r="G330" s="763"/>
      <c r="H330" s="166"/>
      <c r="I330" s="623"/>
      <c r="J330" s="610"/>
      <c r="K330" s="133"/>
      <c r="L330" s="37"/>
      <c r="M330" s="326"/>
    </row>
    <row r="331" spans="1:13" ht="21.75" hidden="1" customHeight="1">
      <c r="A331" s="57"/>
      <c r="B331" s="57" t="s">
        <v>50</v>
      </c>
      <c r="C331" s="110"/>
      <c r="D331" s="108"/>
      <c r="E331" s="764" t="s">
        <v>342</v>
      </c>
      <c r="F331" s="164"/>
      <c r="G331" s="323"/>
      <c r="H331" s="164"/>
      <c r="I331" s="619"/>
      <c r="J331" s="618"/>
      <c r="K331" s="138"/>
      <c r="L331" s="37"/>
    </row>
    <row r="332" spans="1:13" ht="21.75" customHeight="1">
      <c r="A332" s="57" t="s">
        <v>115</v>
      </c>
      <c r="B332" s="57" t="s">
        <v>50</v>
      </c>
      <c r="C332" s="294"/>
      <c r="D332" s="341">
        <v>46277</v>
      </c>
      <c r="E332" s="731" t="s">
        <v>353</v>
      </c>
      <c r="F332" s="343">
        <v>15000</v>
      </c>
      <c r="G332" s="697">
        <f>Tracking_SI5[[#This Row],[Còn lại so với ĐH]]/Tracking_SI5[[#This Row],[Số  lượng trên ĐH]]</f>
        <v>1</v>
      </c>
      <c r="H332" s="378">
        <f>SUM(H333:H335)</f>
        <v>0</v>
      </c>
      <c r="I332" s="378">
        <f>Tracking_SI5[[#This Row],[Số  lượng trên ĐH]]-Tracking_SI5[[#This Row],[Số  lượng giao]]</f>
        <v>15000</v>
      </c>
      <c r="J332" s="601">
        <v>46000</v>
      </c>
      <c r="K332" s="356"/>
      <c r="L332" s="37"/>
      <c r="M332" s="326"/>
    </row>
    <row r="333" spans="1:13" ht="21.75" hidden="1" customHeight="1">
      <c r="A333" s="57"/>
      <c r="B333" s="57" t="s">
        <v>50</v>
      </c>
      <c r="C333" s="294"/>
      <c r="D333" s="795">
        <v>46277</v>
      </c>
      <c r="E333" s="796" t="s">
        <v>353</v>
      </c>
      <c r="F333" s="164"/>
      <c r="G333" s="763"/>
      <c r="H333" s="166"/>
      <c r="I333" s="619"/>
      <c r="J333" s="618"/>
      <c r="K333" s="139"/>
      <c r="L333" s="37"/>
      <c r="M333" s="326"/>
    </row>
    <row r="334" spans="1:13" ht="21.75" hidden="1" customHeight="1">
      <c r="A334" s="57"/>
      <c r="B334" s="57" t="s">
        <v>50</v>
      </c>
      <c r="C334" s="294"/>
      <c r="D334" s="795">
        <v>46277</v>
      </c>
      <c r="E334" s="796" t="s">
        <v>353</v>
      </c>
      <c r="F334" s="164"/>
      <c r="G334" s="763"/>
      <c r="H334" s="166"/>
      <c r="I334" s="619"/>
      <c r="J334" s="618"/>
      <c r="K334" s="139"/>
      <c r="L334" s="37"/>
      <c r="M334" s="326"/>
    </row>
    <row r="335" spans="1:13" ht="21.75" hidden="1" customHeight="1">
      <c r="A335" s="57"/>
      <c r="B335" s="57" t="s">
        <v>50</v>
      </c>
      <c r="C335" s="294"/>
      <c r="D335" s="795">
        <v>46277</v>
      </c>
      <c r="E335" s="796" t="s">
        <v>353</v>
      </c>
      <c r="F335" s="164"/>
      <c r="G335" s="763"/>
      <c r="H335" s="166"/>
      <c r="I335" s="619"/>
      <c r="J335" s="618"/>
      <c r="K335" s="139"/>
      <c r="L335" s="37"/>
      <c r="M335" s="326"/>
    </row>
    <row r="336" spans="1:13" ht="21.75" hidden="1" customHeight="1">
      <c r="A336" s="57"/>
      <c r="B336" s="57" t="s">
        <v>50</v>
      </c>
      <c r="C336" s="294"/>
      <c r="D336" s="795">
        <v>46277</v>
      </c>
      <c r="E336" s="796" t="s">
        <v>353</v>
      </c>
      <c r="F336" s="797"/>
      <c r="G336" s="763"/>
      <c r="H336" s="788"/>
      <c r="I336" s="771"/>
      <c r="J336" s="772"/>
      <c r="K336" s="139"/>
      <c r="L336" s="37"/>
      <c r="M336" s="326"/>
    </row>
    <row r="337" spans="1:20" ht="21.75" customHeight="1">
      <c r="A337" s="58" t="s">
        <v>106</v>
      </c>
      <c r="B337" s="73" t="s">
        <v>128</v>
      </c>
      <c r="C337" s="74" t="s">
        <v>127</v>
      </c>
      <c r="D337" s="117"/>
      <c r="E337" s="75"/>
      <c r="F337" s="75"/>
      <c r="G337" s="323" t="e">
        <f>Tracking_SI5[[#This Row],[Còn lại so với ĐH]]/Tracking_SI5[[#This Row],[Số  lượng trên ĐH]]</f>
        <v>#DIV/0!</v>
      </c>
      <c r="H337" s="553"/>
      <c r="I337" s="205"/>
      <c r="J337" s="78"/>
      <c r="K337" s="137"/>
      <c r="L337" s="77"/>
    </row>
    <row r="338" spans="1:20" ht="19.5" customHeight="1">
      <c r="A338" s="57" t="s">
        <v>115</v>
      </c>
      <c r="B338" s="421" t="s">
        <v>128</v>
      </c>
      <c r="C338" s="48"/>
      <c r="D338" s="341">
        <v>46083</v>
      </c>
      <c r="E338" s="342" t="s">
        <v>211</v>
      </c>
      <c r="F338" s="343">
        <v>15000</v>
      </c>
      <c r="G338" s="323">
        <f>Tracking_SI5[[#This Row],[Còn lại so với ĐH]]/Tracking_SI5[[#This Row],[Số  lượng trên ĐH]]</f>
        <v>1.6266666666666665E-2</v>
      </c>
      <c r="H338" s="378">
        <f>SUM(H339:H346)</f>
        <v>14756</v>
      </c>
      <c r="I338" s="378">
        <f>Tracking_SI5[[#This Row],[Số  lượng trên ĐH]]-Tracking_SI5[[#This Row],[Số  lượng giao]]</f>
        <v>244</v>
      </c>
      <c r="J338" s="603"/>
      <c r="K338" s="356" t="s">
        <v>116</v>
      </c>
      <c r="L338" s="42"/>
      <c r="T338" s="9"/>
    </row>
    <row r="339" spans="1:20" ht="19.5" hidden="1" customHeight="1">
      <c r="A339" s="57"/>
      <c r="B339" s="57" t="s">
        <v>128</v>
      </c>
      <c r="C339" s="48"/>
      <c r="D339" s="108" t="s">
        <v>262</v>
      </c>
      <c r="E339" s="27" t="s">
        <v>211</v>
      </c>
      <c r="F339" s="349"/>
      <c r="G339" s="323" t="e">
        <f>Tracking_SI5[[#This Row],[Còn lại so với ĐH]]/Tracking_SI5[[#This Row],[Số  lượng trên ĐH]]</f>
        <v>#DIV/0!</v>
      </c>
      <c r="H339" s="164">
        <v>5074</v>
      </c>
      <c r="I339" s="354"/>
      <c r="J339" s="626"/>
      <c r="K339" s="134" t="s">
        <v>118</v>
      </c>
      <c r="L339" s="42"/>
      <c r="T339" s="9"/>
    </row>
    <row r="340" spans="1:20" ht="19.5" hidden="1" customHeight="1">
      <c r="A340" s="57"/>
      <c r="B340" s="57" t="s">
        <v>128</v>
      </c>
      <c r="C340" s="48"/>
      <c r="D340" s="108">
        <v>46148</v>
      </c>
      <c r="E340" s="27" t="s">
        <v>211</v>
      </c>
      <c r="F340" s="628"/>
      <c r="G340" s="323" t="e">
        <f>Tracking_SI5[[#This Row],[Còn lại so với ĐH]]/Tracking_SI5[[#This Row],[Số  lượng trên ĐH]]</f>
        <v>#DIV/0!</v>
      </c>
      <c r="H340" s="164">
        <v>1441</v>
      </c>
      <c r="I340" s="619"/>
      <c r="J340" s="626"/>
      <c r="K340" s="134" t="s">
        <v>118</v>
      </c>
      <c r="L340" s="42"/>
    </row>
    <row r="341" spans="1:20" ht="19.5" hidden="1" customHeight="1">
      <c r="A341" s="57"/>
      <c r="B341" s="57" t="s">
        <v>128</v>
      </c>
      <c r="C341" s="48"/>
      <c r="D341" s="108">
        <v>46155</v>
      </c>
      <c r="E341" s="27" t="s">
        <v>211</v>
      </c>
      <c r="F341" s="628"/>
      <c r="G341" s="323" t="e">
        <f>Tracking_SI5[[#This Row],[Còn lại so với ĐH]]/Tracking_SI5[[#This Row],[Số  lượng trên ĐH]]</f>
        <v>#DIV/0!</v>
      </c>
      <c r="H341" s="164">
        <v>2883</v>
      </c>
      <c r="I341" s="619"/>
      <c r="J341" s="626"/>
      <c r="K341" s="134" t="s">
        <v>118</v>
      </c>
      <c r="L341" s="42"/>
    </row>
    <row r="342" spans="1:20" ht="19.5" hidden="1" customHeight="1">
      <c r="A342" s="57"/>
      <c r="B342" s="57" t="s">
        <v>128</v>
      </c>
      <c r="C342" s="48"/>
      <c r="D342" s="154">
        <v>46161</v>
      </c>
      <c r="E342" s="27" t="s">
        <v>211</v>
      </c>
      <c r="F342" s="621"/>
      <c r="G342" s="323" t="e">
        <f>Tracking_SI5[[#This Row],[Còn lại so với ĐH]]/Tracking_SI5[[#This Row],[Số  lượng trên ĐH]]</f>
        <v>#DIV/0!</v>
      </c>
      <c r="H342" s="587">
        <v>2917</v>
      </c>
      <c r="I342" s="616"/>
      <c r="J342" s="626"/>
      <c r="K342" s="134" t="s">
        <v>118</v>
      </c>
      <c r="L342" s="42"/>
    </row>
    <row r="343" spans="1:20" ht="19.5" hidden="1" customHeight="1">
      <c r="A343" s="57"/>
      <c r="B343" s="57" t="s">
        <v>128</v>
      </c>
      <c r="C343" s="48"/>
      <c r="D343" s="154">
        <v>46161</v>
      </c>
      <c r="E343" s="27" t="s">
        <v>211</v>
      </c>
      <c r="F343" s="201"/>
      <c r="G343" s="323" t="e">
        <f>Tracking_SI5[[#This Row],[Còn lại so với ĐH]]/Tracking_SI5[[#This Row],[Số  lượng trên ĐH]]</f>
        <v>#DIV/0!</v>
      </c>
      <c r="H343" s="164">
        <v>1953</v>
      </c>
      <c r="I343" s="336"/>
      <c r="J343" s="42"/>
      <c r="K343" s="134" t="s">
        <v>118</v>
      </c>
      <c r="L343" s="42"/>
    </row>
    <row r="344" spans="1:20" ht="19.5" hidden="1" customHeight="1">
      <c r="A344" s="57"/>
      <c r="B344" s="57" t="s">
        <v>128</v>
      </c>
      <c r="C344" s="48"/>
      <c r="D344" s="108">
        <v>46168</v>
      </c>
      <c r="E344" s="27" t="s">
        <v>211</v>
      </c>
      <c r="F344" s="201"/>
      <c r="G344" s="323" t="e">
        <f>Tracking_SI5[[#This Row],[Còn lại so với ĐH]]/Tracking_SI5[[#This Row],[Số  lượng trên ĐH]]</f>
        <v>#DIV/0!</v>
      </c>
      <c r="H344" s="608">
        <v>488</v>
      </c>
      <c r="I344" s="336"/>
      <c r="J344" s="42"/>
      <c r="K344" s="134" t="s">
        <v>118</v>
      </c>
      <c r="L344" s="42"/>
    </row>
    <row r="345" spans="1:20" ht="19.5" hidden="1" customHeight="1">
      <c r="A345" s="57"/>
      <c r="B345" s="57" t="s">
        <v>128</v>
      </c>
      <c r="C345" s="48"/>
      <c r="D345" s="154"/>
      <c r="E345" s="27" t="s">
        <v>211</v>
      </c>
      <c r="F345" s="201"/>
      <c r="G345" s="323" t="e">
        <f>Tracking_SI5[[#This Row],[Còn lại so với ĐH]]/Tracking_SI5[[#This Row],[Số  lượng trên ĐH]]</f>
        <v>#DIV/0!</v>
      </c>
      <c r="H345" s="156"/>
      <c r="I345" s="336"/>
      <c r="J345" s="42"/>
      <c r="K345" s="140"/>
      <c r="L345" s="42"/>
    </row>
    <row r="346" spans="1:20" ht="19.5" hidden="1" customHeight="1">
      <c r="A346" s="57"/>
      <c r="B346" s="57" t="s">
        <v>128</v>
      </c>
      <c r="C346" s="48"/>
      <c r="D346" s="154"/>
      <c r="E346" s="27" t="s">
        <v>211</v>
      </c>
      <c r="F346" s="201"/>
      <c r="G346" s="323" t="e">
        <f>Tracking_SI5[[#This Row],[Còn lại so với ĐH]]/Tracking_SI5[[#This Row],[Số  lượng trên ĐH]]</f>
        <v>#DIV/0!</v>
      </c>
      <c r="H346" s="156"/>
      <c r="I346" s="336"/>
      <c r="J346" s="42"/>
      <c r="K346" s="140"/>
      <c r="L346" s="42"/>
    </row>
    <row r="347" spans="1:20" ht="19.5" customHeight="1">
      <c r="A347" s="58" t="s">
        <v>106</v>
      </c>
      <c r="B347" s="73" t="s">
        <v>132</v>
      </c>
      <c r="C347" s="74" t="s">
        <v>131</v>
      </c>
      <c r="D347" s="117"/>
      <c r="E347" s="75"/>
      <c r="F347" s="75"/>
      <c r="G347" s="323" t="e">
        <f>Tracking_SI5[[#This Row],[Còn lại so với ĐH]]/Tracking_SI5[[#This Row],[Số  lượng trên ĐH]]</f>
        <v>#DIV/0!</v>
      </c>
      <c r="H347" s="75"/>
      <c r="I347" s="204"/>
      <c r="J347" s="78"/>
      <c r="K347" s="137"/>
      <c r="L347" s="77"/>
    </row>
    <row r="348" spans="1:20" ht="19.5" hidden="1" customHeight="1">
      <c r="A348" s="57"/>
      <c r="B348" s="57" t="s">
        <v>132</v>
      </c>
      <c r="C348" s="48"/>
      <c r="D348" s="108"/>
      <c r="E348" s="30"/>
      <c r="F348" s="169"/>
      <c r="G348" s="323" t="e">
        <f>Tracking_SI5[[#This Row],[Còn lại so với ĐH]]/Tracking_SI5[[#This Row],[Số  lượng trên ĐH]]</f>
        <v>#DIV/0!</v>
      </c>
      <c r="H348" s="166"/>
      <c r="I348" s="619"/>
      <c r="J348" s="618"/>
      <c r="K348" s="138"/>
      <c r="L348" s="37"/>
    </row>
    <row r="349" spans="1:20" ht="19.5" hidden="1" customHeight="1">
      <c r="A349" s="57"/>
      <c r="B349" s="57" t="s">
        <v>132</v>
      </c>
      <c r="C349" s="48"/>
      <c r="D349" s="108"/>
      <c r="E349" s="30"/>
      <c r="F349" s="169"/>
      <c r="G349" s="323" t="e">
        <f>Tracking_SI5[[#This Row],[Còn lại so với ĐH]]/Tracking_SI5[[#This Row],[Số  lượng trên ĐH]]</f>
        <v>#DIV/0!</v>
      </c>
      <c r="H349" s="166"/>
      <c r="I349" s="619"/>
      <c r="J349" s="618"/>
      <c r="K349" s="138"/>
      <c r="L349" s="37"/>
    </row>
    <row r="350" spans="1:20" ht="19.5" hidden="1" customHeight="1">
      <c r="A350" s="57"/>
      <c r="B350" s="57" t="s">
        <v>132</v>
      </c>
      <c r="C350" s="48"/>
      <c r="D350" s="108"/>
      <c r="E350" s="30"/>
      <c r="F350" s="169"/>
      <c r="G350" s="323" t="e">
        <f>Tracking_SI5[[#This Row],[Còn lại so với ĐH]]/Tracking_SI5[[#This Row],[Số  lượng trên ĐH]]</f>
        <v>#DIV/0!</v>
      </c>
      <c r="H350" s="166"/>
      <c r="I350" s="619"/>
      <c r="J350" s="618"/>
      <c r="K350" s="138"/>
      <c r="L350" s="37"/>
    </row>
    <row r="351" spans="1:20" ht="19.5" hidden="1" customHeight="1">
      <c r="A351" s="57"/>
      <c r="B351" s="57" t="s">
        <v>132</v>
      </c>
      <c r="C351" s="48"/>
      <c r="D351" s="108"/>
      <c r="E351" s="30"/>
      <c r="F351" s="169"/>
      <c r="G351" s="323" t="e">
        <f>Tracking_SI5[[#This Row],[Còn lại so với ĐH]]/Tracking_SI5[[#This Row],[Số  lượng trên ĐH]]</f>
        <v>#DIV/0!</v>
      </c>
      <c r="H351" s="166"/>
      <c r="I351" s="606"/>
      <c r="J351" s="618"/>
      <c r="K351" s="138"/>
      <c r="L351" s="37"/>
    </row>
    <row r="352" spans="1:20" ht="19.5" hidden="1" customHeight="1">
      <c r="A352" s="57"/>
      <c r="B352" s="57" t="s">
        <v>132</v>
      </c>
      <c r="C352" s="48"/>
      <c r="D352" s="108"/>
      <c r="E352" s="30"/>
      <c r="F352" s="169"/>
      <c r="G352" s="323" t="e">
        <f>Tracking_SI5[[#This Row],[Còn lại so với ĐH]]/Tracking_SI5[[#This Row],[Số  lượng trên ĐH]]</f>
        <v>#DIV/0!</v>
      </c>
      <c r="H352" s="166"/>
      <c r="I352" s="354"/>
      <c r="J352" s="618"/>
      <c r="K352" s="138"/>
      <c r="L352" s="37"/>
    </row>
    <row r="353" spans="1:12" ht="18.75" customHeight="1">
      <c r="A353" s="58" t="s">
        <v>106</v>
      </c>
      <c r="B353" s="81"/>
      <c r="C353" s="82" t="s">
        <v>62</v>
      </c>
      <c r="D353" s="118"/>
      <c r="E353" s="118"/>
      <c r="F353" s="118"/>
      <c r="G353" s="323" t="e">
        <f>Tracking_SI5[[#This Row],[Còn lại so với ĐH]]/Tracking_SI5[[#This Row],[Số  lượng trên ĐH]]</f>
        <v>#DIV/0!</v>
      </c>
      <c r="H353" s="118"/>
      <c r="I353" s="118"/>
      <c r="J353" s="118"/>
      <c r="K353" s="118"/>
      <c r="L353" s="85"/>
    </row>
    <row r="354" spans="1:12" ht="18.75" hidden="1" customHeight="1">
      <c r="A354" s="57"/>
      <c r="B354" s="57"/>
      <c r="C354" s="46"/>
      <c r="D354" s="108"/>
      <c r="E354" s="30"/>
      <c r="F354" s="164"/>
      <c r="G354" s="323" t="e">
        <f>Tracking_SI5[[#This Row],[Còn lại so với ĐH]]/Tracking_SI5[[#This Row],[Số  lượng trên ĐH]]</f>
        <v>#DIV/0!</v>
      </c>
      <c r="H354" s="164"/>
      <c r="I354" s="619"/>
      <c r="J354" s="164"/>
      <c r="K354" s="131"/>
      <c r="L354" s="24"/>
    </row>
    <row r="355" spans="1:12" ht="18.75" hidden="1" customHeight="1">
      <c r="A355" s="57"/>
      <c r="B355" s="57"/>
      <c r="C355" s="46"/>
      <c r="D355" s="108"/>
      <c r="E355" s="30"/>
      <c r="F355" s="169"/>
      <c r="G355" s="323" t="e">
        <f>Tracking_SI5[[#This Row],[Còn lại so với ĐH]]/Tracking_SI5[[#This Row],[Số  lượng trên ĐH]]</f>
        <v>#DIV/0!</v>
      </c>
      <c r="H355" s="169"/>
      <c r="I355" s="606"/>
      <c r="J355" s="618"/>
      <c r="K355" s="139"/>
      <c r="L355" s="37"/>
    </row>
    <row r="356" spans="1:12" ht="18.75" hidden="1" customHeight="1">
      <c r="A356" s="57"/>
      <c r="B356" s="57"/>
      <c r="C356" s="46"/>
      <c r="D356" s="108"/>
      <c r="E356" s="30"/>
      <c r="F356" s="166"/>
      <c r="G356" s="323" t="e">
        <f>Tracking_SI5[[#This Row],[Còn lại so với ĐH]]/Tracking_SI5[[#This Row],[Số  lượng trên ĐH]]</f>
        <v>#DIV/0!</v>
      </c>
      <c r="H356" s="166"/>
      <c r="I356" s="606"/>
      <c r="J356" s="344"/>
      <c r="K356" s="133"/>
      <c r="L356" s="32"/>
    </row>
    <row r="357" spans="1:12" ht="18.75" hidden="1" customHeight="1">
      <c r="A357" s="57"/>
      <c r="B357" s="57"/>
      <c r="C357" s="46"/>
      <c r="D357" s="108"/>
      <c r="E357" s="30"/>
      <c r="F357" s="166"/>
      <c r="G357" s="323" t="e">
        <f>Tracking_SI5[[#This Row],[Còn lại so với ĐH]]/Tracking_SI5[[#This Row],[Số  lượng trên ĐH]]</f>
        <v>#DIV/0!</v>
      </c>
      <c r="H357" s="166"/>
      <c r="I357" s="606"/>
      <c r="J357" s="344"/>
      <c r="K357" s="133"/>
      <c r="L357" s="32"/>
    </row>
    <row r="358" spans="1:12" ht="18.75" hidden="1" customHeight="1">
      <c r="A358" s="57"/>
      <c r="B358" s="57"/>
      <c r="C358" s="46"/>
      <c r="D358" s="108"/>
      <c r="E358" s="30"/>
      <c r="F358" s="166"/>
      <c r="G358" s="323" t="e">
        <f>Tracking_SI5[[#This Row],[Còn lại so với ĐH]]/Tracking_SI5[[#This Row],[Số  lượng trên ĐH]]</f>
        <v>#DIV/0!</v>
      </c>
      <c r="H358" s="166"/>
      <c r="I358" s="606"/>
      <c r="J358" s="344"/>
      <c r="K358" s="133"/>
      <c r="L358" s="32"/>
    </row>
    <row r="359" spans="1:12" ht="18.75" hidden="1" customHeight="1">
      <c r="A359" s="57"/>
      <c r="B359" s="57"/>
      <c r="C359" s="46"/>
      <c r="D359" s="108"/>
      <c r="E359" s="30"/>
      <c r="F359" s="166"/>
      <c r="G359" s="323" t="e">
        <f>Tracking_SI5[[#This Row],[Còn lại so với ĐH]]/Tracking_SI5[[#This Row],[Số  lượng trên ĐH]]</f>
        <v>#DIV/0!</v>
      </c>
      <c r="H359" s="166"/>
      <c r="I359" s="606"/>
      <c r="J359" s="344"/>
      <c r="K359" s="133"/>
      <c r="L359" s="32"/>
    </row>
    <row r="360" spans="1:12" ht="18.75" customHeight="1">
      <c r="A360" s="58" t="s">
        <v>106</v>
      </c>
      <c r="B360" s="81"/>
      <c r="C360" s="82" t="s">
        <v>64</v>
      </c>
      <c r="D360" s="118"/>
      <c r="E360" s="311"/>
      <c r="F360" s="86"/>
      <c r="G360" s="323" t="e">
        <f>Tracking_SI5[[#This Row],[Còn lại so với ĐH]]/Tracking_SI5[[#This Row],[Số  lượng trên ĐH]]</f>
        <v>#DIV/0!</v>
      </c>
      <c r="H360" s="86"/>
      <c r="I360" s="206"/>
      <c r="J360" s="85"/>
      <c r="K360" s="141"/>
      <c r="L360" s="85"/>
    </row>
    <row r="361" spans="1:12" ht="18.75" hidden="1" customHeight="1">
      <c r="A361" s="58"/>
      <c r="B361" s="57"/>
      <c r="C361" s="48"/>
      <c r="D361" s="111"/>
      <c r="E361" s="309"/>
      <c r="F361" s="163"/>
      <c r="G361" s="326" t="e">
        <f>Tracking_SI5[[#This Row],[Còn lại so với ĐH]]/Tracking_SI5[[#This Row],[Số  lượng trên ĐH]]</f>
        <v>#DIV/0!</v>
      </c>
      <c r="H361" s="163"/>
      <c r="I361" s="607"/>
      <c r="J361" s="163"/>
      <c r="K361" s="127"/>
      <c r="L361" s="24"/>
    </row>
    <row r="362" spans="1:12" ht="18.75" hidden="1" customHeight="1">
      <c r="A362" s="57"/>
      <c r="B362" s="57"/>
      <c r="C362" s="48"/>
      <c r="D362" s="116"/>
      <c r="E362" s="30"/>
      <c r="F362" s="166"/>
      <c r="G362" s="326" t="e">
        <f>Tracking_SI5[[#This Row],[Còn lại so với ĐH]]/Tracking_SI5[[#This Row],[Số  lượng trên ĐH]]</f>
        <v>#DIV/0!</v>
      </c>
      <c r="H362" s="166"/>
      <c r="I362" s="606"/>
      <c r="J362" s="344"/>
      <c r="K362" s="138"/>
      <c r="L362" s="32"/>
    </row>
    <row r="363" spans="1:12" ht="18.75" hidden="1" customHeight="1">
      <c r="A363" s="57"/>
      <c r="B363" s="57"/>
      <c r="C363" s="48"/>
      <c r="D363" s="116"/>
      <c r="E363" s="30"/>
      <c r="F363" s="166"/>
      <c r="G363" s="326" t="e">
        <f>Tracking_SI5[[#This Row],[Còn lại so với ĐH]]/Tracking_SI5[[#This Row],[Số  lượng trên ĐH]]</f>
        <v>#DIV/0!</v>
      </c>
      <c r="H363" s="166"/>
      <c r="I363" s="619"/>
      <c r="J363" s="344"/>
      <c r="K363" s="138"/>
      <c r="L363" s="32"/>
    </row>
    <row r="364" spans="1:12" ht="18.75" hidden="1" customHeight="1">
      <c r="A364" s="57"/>
      <c r="B364" s="57"/>
      <c r="C364" s="48"/>
      <c r="D364" s="116"/>
      <c r="E364" s="30"/>
      <c r="F364" s="166"/>
      <c r="G364" s="326" t="e">
        <f>Tracking_SI5[[#This Row],[Còn lại so với ĐH]]/Tracking_SI5[[#This Row],[Số  lượng trên ĐH]]</f>
        <v>#DIV/0!</v>
      </c>
      <c r="H364" s="166"/>
      <c r="I364" s="606"/>
      <c r="J364" s="344"/>
      <c r="K364" s="138"/>
      <c r="L364" s="32"/>
    </row>
    <row r="365" spans="1:12" ht="18.75" hidden="1" customHeight="1">
      <c r="A365" s="57"/>
      <c r="B365" s="57"/>
      <c r="C365" s="48"/>
      <c r="D365" s="116"/>
      <c r="E365" s="30"/>
      <c r="F365" s="166"/>
      <c r="G365" s="326" t="e">
        <f>Tracking_SI5[[#This Row],[Còn lại so với ĐH]]/Tracking_SI5[[#This Row],[Số  lượng trên ĐH]]</f>
        <v>#DIV/0!</v>
      </c>
      <c r="H365" s="166"/>
      <c r="I365" s="606"/>
      <c r="J365" s="344"/>
      <c r="K365" s="138"/>
      <c r="L365" s="32"/>
    </row>
    <row r="366" spans="1:12" ht="18.75" hidden="1" customHeight="1">
      <c r="A366" s="57"/>
      <c r="B366" s="57"/>
      <c r="C366" s="48"/>
      <c r="D366" s="111"/>
      <c r="E366" s="309"/>
      <c r="F366" s="163"/>
      <c r="G366" s="326" t="e">
        <f>Tracking_SI5[[#This Row],[Còn lại so với ĐH]]/Tracking_SI5[[#This Row],[Số  lượng trên ĐH]]</f>
        <v>#DIV/0!</v>
      </c>
      <c r="H366" s="163"/>
      <c r="I366" s="607"/>
      <c r="J366" s="163"/>
      <c r="K366" s="130"/>
      <c r="L366" s="24"/>
    </row>
    <row r="367" spans="1:12" ht="18.75" hidden="1" customHeight="1">
      <c r="A367" s="57"/>
      <c r="B367" s="57"/>
      <c r="C367" s="48"/>
      <c r="D367" s="116"/>
      <c r="E367" s="30"/>
      <c r="F367" s="166"/>
      <c r="G367" s="326" t="e">
        <f>Tracking_SI5[[#This Row],[Còn lại so với ĐH]]/Tracking_SI5[[#This Row],[Số  lượng trên ĐH]]</f>
        <v>#DIV/0!</v>
      </c>
      <c r="H367" s="166"/>
      <c r="I367" s="606"/>
      <c r="J367" s="344"/>
      <c r="K367" s="133"/>
      <c r="L367" s="32"/>
    </row>
    <row r="368" spans="1:12" ht="18.75" hidden="1" customHeight="1">
      <c r="A368" s="57"/>
      <c r="B368" s="57"/>
      <c r="C368" s="48"/>
      <c r="D368" s="116"/>
      <c r="E368" s="30"/>
      <c r="F368" s="166"/>
      <c r="G368" s="326" t="e">
        <f>Tracking_SI5[[#This Row],[Còn lại so với ĐH]]/Tracking_SI5[[#This Row],[Số  lượng trên ĐH]]</f>
        <v>#DIV/0!</v>
      </c>
      <c r="H368" s="166"/>
      <c r="I368" s="606"/>
      <c r="J368" s="344"/>
      <c r="K368" s="133"/>
      <c r="L368" s="32"/>
    </row>
    <row r="369" spans="1:12" ht="18.75" hidden="1" customHeight="1">
      <c r="A369" s="57"/>
      <c r="B369" s="57"/>
      <c r="C369" s="48"/>
      <c r="D369" s="116"/>
      <c r="E369" s="30"/>
      <c r="F369" s="166"/>
      <c r="G369" s="323" t="e">
        <f>Tracking_SI5[[#This Row],[Còn lại so với ĐH]]/Tracking_SI5[[#This Row],[Số  lượng trên ĐH]]</f>
        <v>#DIV/0!</v>
      </c>
      <c r="H369" s="166"/>
      <c r="I369" s="606"/>
      <c r="J369" s="344"/>
      <c r="K369" s="133"/>
      <c r="L369" s="32"/>
    </row>
    <row r="370" spans="1:12" ht="18.75" customHeight="1">
      <c r="A370" s="58" t="s">
        <v>106</v>
      </c>
      <c r="B370" s="81"/>
      <c r="C370" s="82" t="s">
        <v>68</v>
      </c>
      <c r="D370" s="118"/>
      <c r="E370" s="83"/>
      <c r="F370" s="84"/>
      <c r="G370" s="323" t="e">
        <f>Tracking_SI5[[#This Row],[Còn lại so với ĐH]]/Tracking_SI5[[#This Row],[Số  lượng trên ĐH]]</f>
        <v>#DIV/0!</v>
      </c>
      <c r="H370" s="84"/>
      <c r="I370" s="206"/>
      <c r="J370" s="87"/>
      <c r="K370" s="142"/>
      <c r="L370" s="85"/>
    </row>
    <row r="371" spans="1:12" ht="18.75" hidden="1" customHeight="1">
      <c r="A371" s="58"/>
      <c r="B371" s="57"/>
      <c r="C371" s="48"/>
      <c r="D371" s="111"/>
      <c r="E371" s="309"/>
      <c r="F371" s="173"/>
      <c r="G371" s="326" t="e">
        <f>Tracking_SI5[[#This Row],[Còn lại so với ĐH]]/Tracking_SI5[[#This Row],[Số  lượng trên ĐH]]</f>
        <v>#DIV/0!</v>
      </c>
      <c r="H371" s="173"/>
      <c r="I371" s="607"/>
      <c r="J371" s="163"/>
      <c r="K371" s="130"/>
      <c r="L371" s="24"/>
    </row>
    <row r="372" spans="1:12" ht="19.5" hidden="1" customHeight="1">
      <c r="A372" s="57"/>
      <c r="B372" s="57"/>
      <c r="C372" s="48"/>
      <c r="D372" s="116"/>
      <c r="E372" s="30"/>
      <c r="F372" s="174"/>
      <c r="G372" s="326" t="e">
        <f>Tracking_SI5[[#This Row],[Còn lại so với ĐH]]/Tracking_SI5[[#This Row],[Số  lượng trên ĐH]]</f>
        <v>#DIV/0!</v>
      </c>
      <c r="H372" s="174"/>
      <c r="I372" s="606"/>
      <c r="J372" s="344"/>
      <c r="K372" s="133"/>
      <c r="L372" s="32"/>
    </row>
    <row r="373" spans="1:12" ht="19.5" hidden="1" customHeight="1">
      <c r="A373" s="57"/>
      <c r="B373" s="57"/>
      <c r="C373" s="48"/>
      <c r="D373" s="116"/>
      <c r="E373" s="30"/>
      <c r="F373" s="174"/>
      <c r="G373" s="323" t="e">
        <f>Tracking_SI5[[#This Row],[Còn lại so với ĐH]]/Tracking_SI5[[#This Row],[Số  lượng trên ĐH]]</f>
        <v>#DIV/0!</v>
      </c>
      <c r="H373" s="174"/>
      <c r="I373" s="606"/>
      <c r="J373" s="344"/>
      <c r="K373" s="133"/>
      <c r="L373" s="32"/>
    </row>
    <row r="374" spans="1:12" ht="19.5" hidden="1" customHeight="1">
      <c r="A374" s="57"/>
      <c r="B374" s="57"/>
      <c r="C374" s="48"/>
      <c r="D374" s="116"/>
      <c r="E374" s="30"/>
      <c r="F374" s="174"/>
      <c r="G374" s="323" t="e">
        <f>Tracking_SI5[[#This Row],[Còn lại so với ĐH]]/Tracking_SI5[[#This Row],[Số  lượng trên ĐH]]</f>
        <v>#DIV/0!</v>
      </c>
      <c r="H374" s="174"/>
      <c r="I374" s="606"/>
      <c r="J374" s="344"/>
      <c r="K374" s="133"/>
      <c r="L374" s="32"/>
    </row>
    <row r="375" spans="1:12" ht="19.5" hidden="1" customHeight="1">
      <c r="A375" s="57"/>
      <c r="B375" s="57"/>
      <c r="C375" s="48"/>
      <c r="D375" s="116"/>
      <c r="E375" s="30"/>
      <c r="F375" s="174"/>
      <c r="G375" s="323" t="e">
        <f>Tracking_SI5[[#This Row],[Còn lại so với ĐH]]/Tracking_SI5[[#This Row],[Số  lượng trên ĐH]]</f>
        <v>#DIV/0!</v>
      </c>
      <c r="H375" s="174"/>
      <c r="I375" s="606"/>
      <c r="J375" s="344"/>
      <c r="K375" s="133"/>
      <c r="L375" s="32"/>
    </row>
    <row r="376" spans="1:12" ht="19.5" customHeight="1">
      <c r="A376" s="58" t="s">
        <v>106</v>
      </c>
      <c r="B376" s="81"/>
      <c r="C376" s="82" t="s">
        <v>69</v>
      </c>
      <c r="D376" s="118"/>
      <c r="E376" s="83"/>
      <c r="F376" s="84"/>
      <c r="G376" s="323" t="e">
        <f>Tracking_SI5[[#This Row],[Còn lại so với ĐH]]/Tracking_SI5[[#This Row],[Số  lượng trên ĐH]]</f>
        <v>#DIV/0!</v>
      </c>
      <c r="H376" s="84"/>
      <c r="I376" s="206"/>
      <c r="J376" s="85"/>
      <c r="K376" s="141"/>
      <c r="L376" s="85"/>
    </row>
    <row r="377" spans="1:12" ht="19.5" hidden="1" customHeight="1">
      <c r="A377" s="58"/>
      <c r="B377" s="57"/>
      <c r="C377" s="48"/>
      <c r="D377" s="183"/>
      <c r="E377" s="30"/>
      <c r="F377" s="221"/>
      <c r="G377" s="326" t="e">
        <f>Tracking_SI5[[#This Row],[Còn lại so với ĐH]]/Tracking_SI5[[#This Row],[Số  lượng trên ĐH]]</f>
        <v>#DIV/0!</v>
      </c>
      <c r="H377" s="221"/>
      <c r="I377" s="627"/>
      <c r="J377" s="172"/>
      <c r="K377" s="195"/>
      <c r="L377" s="29"/>
    </row>
    <row r="378" spans="1:12" ht="19.5" hidden="1" customHeight="1">
      <c r="A378" s="57"/>
      <c r="B378" s="57"/>
      <c r="C378" s="48"/>
      <c r="D378" s="116"/>
      <c r="E378" s="30"/>
      <c r="F378" s="174"/>
      <c r="G378" s="326" t="e">
        <f>Tracking_SI5[[#This Row],[Còn lại so với ĐH]]/Tracking_SI5[[#This Row],[Số  lượng trên ĐH]]</f>
        <v>#DIV/0!</v>
      </c>
      <c r="H378" s="174"/>
      <c r="I378" s="606"/>
      <c r="J378" s="344"/>
      <c r="K378" s="133"/>
      <c r="L378" s="32"/>
    </row>
    <row r="379" spans="1:12" ht="19.5" hidden="1" customHeight="1">
      <c r="A379" s="57"/>
      <c r="B379" s="57"/>
      <c r="C379" s="48"/>
      <c r="D379" s="116"/>
      <c r="E379" s="30"/>
      <c r="F379" s="174"/>
      <c r="G379" s="323" t="e">
        <f>Tracking_SI5[[#This Row],[Còn lại so với ĐH]]/Tracking_SI5[[#This Row],[Số  lượng trên ĐH]]</f>
        <v>#DIV/0!</v>
      </c>
      <c r="H379" s="174"/>
      <c r="I379" s="606"/>
      <c r="J379" s="344"/>
      <c r="K379" s="133"/>
      <c r="L379" s="32"/>
    </row>
    <row r="380" spans="1:12" ht="19.5" hidden="1" customHeight="1">
      <c r="A380" s="57"/>
      <c r="B380" s="57"/>
      <c r="C380" s="48"/>
      <c r="D380" s="116"/>
      <c r="E380" s="30"/>
      <c r="F380" s="174"/>
      <c r="G380" s="323" t="e">
        <f>Tracking_SI5[[#This Row],[Còn lại so với ĐH]]/Tracking_SI5[[#This Row],[Số  lượng trên ĐH]]</f>
        <v>#DIV/0!</v>
      </c>
      <c r="H380" s="174"/>
      <c r="I380" s="606"/>
      <c r="J380" s="344"/>
      <c r="K380" s="133"/>
      <c r="L380" s="32"/>
    </row>
    <row r="381" spans="1:12" ht="19.5" customHeight="1">
      <c r="A381" s="58" t="s">
        <v>106</v>
      </c>
      <c r="B381" s="81"/>
      <c r="C381" s="82" t="s">
        <v>71</v>
      </c>
      <c r="D381" s="118"/>
      <c r="E381" s="83"/>
      <c r="F381" s="84"/>
      <c r="G381" s="323" t="e">
        <f>Tracking_SI5[[#This Row],[Còn lại so với ĐH]]/Tracking_SI5[[#This Row],[Số  lượng trên ĐH]]</f>
        <v>#DIV/0!</v>
      </c>
      <c r="H381" s="84"/>
      <c r="I381" s="206"/>
      <c r="J381" s="85"/>
      <c r="K381" s="141"/>
      <c r="L381" s="85"/>
    </row>
    <row r="382" spans="1:12" ht="19.5" hidden="1" customHeight="1">
      <c r="A382" s="58"/>
      <c r="B382" s="57"/>
      <c r="C382" s="48"/>
      <c r="D382" s="183"/>
      <c r="E382" s="30"/>
      <c r="F382" s="221"/>
      <c r="G382" s="326" t="e">
        <f>Tracking_SI5[[#This Row],[Còn lại so với ĐH]]/Tracking_SI5[[#This Row],[Số  lượng trên ĐH]]</f>
        <v>#DIV/0!</v>
      </c>
      <c r="H382" s="221"/>
      <c r="I382" s="614"/>
      <c r="J382" s="172"/>
      <c r="K382" s="127"/>
      <c r="L382" s="29"/>
    </row>
    <row r="383" spans="1:12" ht="19.5" hidden="1" customHeight="1">
      <c r="A383" s="57"/>
      <c r="B383" s="57"/>
      <c r="C383" s="48"/>
      <c r="D383" s="116"/>
      <c r="E383" s="30"/>
      <c r="F383" s="174"/>
      <c r="G383" s="326" t="e">
        <f>Tracking_SI5[[#This Row],[Còn lại so với ĐH]]/Tracking_SI5[[#This Row],[Số  lượng trên ĐH]]</f>
        <v>#DIV/0!</v>
      </c>
      <c r="H383" s="174"/>
      <c r="I383" s="606"/>
      <c r="J383" s="344"/>
      <c r="K383" s="133"/>
      <c r="L383" s="32"/>
    </row>
    <row r="384" spans="1:12" ht="19.5" hidden="1" customHeight="1">
      <c r="A384" s="57"/>
      <c r="B384" s="57"/>
      <c r="C384" s="48"/>
      <c r="D384" s="116"/>
      <c r="E384" s="30"/>
      <c r="F384" s="174"/>
      <c r="G384" s="326" t="e">
        <f>Tracking_SI5[[#This Row],[Còn lại so với ĐH]]/Tracking_SI5[[#This Row],[Số  lượng trên ĐH]]</f>
        <v>#DIV/0!</v>
      </c>
      <c r="H384" s="174"/>
      <c r="I384" s="606"/>
      <c r="J384" s="344"/>
      <c r="K384" s="133"/>
      <c r="L384" s="32"/>
    </row>
    <row r="385" spans="1:12" s="116" customFormat="1" ht="19.5" customHeight="1">
      <c r="A385" s="58" t="s">
        <v>106</v>
      </c>
      <c r="B385" s="81" t="s">
        <v>284</v>
      </c>
      <c r="C385" s="82" t="s">
        <v>283</v>
      </c>
      <c r="D385" s="118"/>
      <c r="E385" s="83"/>
      <c r="F385" s="84"/>
      <c r="G385" s="326" t="e">
        <f>Tracking_SI5[[#This Row],[Còn lại so với ĐH]]/Tracking_SI5[[#This Row],[Số  lượng trên ĐH]]</f>
        <v>#DIV/0!</v>
      </c>
      <c r="H385" s="206"/>
      <c r="I385" s="85"/>
      <c r="J385" s="141"/>
      <c r="K385" s="85"/>
      <c r="L385" s="85"/>
    </row>
    <row r="386" spans="1:12" s="116" customFormat="1" ht="19.5" customHeight="1">
      <c r="A386" s="116" t="s">
        <v>115</v>
      </c>
      <c r="B386" s="116" t="s">
        <v>284</v>
      </c>
      <c r="D386" s="341">
        <v>46189</v>
      </c>
      <c r="E386" s="342" t="s">
        <v>286</v>
      </c>
      <c r="F386" s="662">
        <v>5000</v>
      </c>
      <c r="G386" s="326">
        <f>Tracking_SI5[[#This Row],[Còn lại so với ĐH]]/Tracking_SI5[[#This Row],[Số  lượng trên ĐH]]</f>
        <v>1</v>
      </c>
      <c r="H386" s="662"/>
      <c r="I386" s="602">
        <f>Tracking_SI5[[#This Row],[Số  lượng trên ĐH]]-Tracking_SI5[[#This Row],[Số  lượng giao]]</f>
        <v>5000</v>
      </c>
      <c r="J386" s="356">
        <v>38800</v>
      </c>
      <c r="K386" s="498"/>
    </row>
    <row r="387" spans="1:12" s="116" customFormat="1" ht="19.5" hidden="1" customHeight="1">
      <c r="B387" s="116" t="s">
        <v>284</v>
      </c>
      <c r="E387" s="116" t="s">
        <v>286</v>
      </c>
      <c r="F387" s="663"/>
      <c r="G387" s="326" t="e">
        <f>Tracking_SI5[[#This Row],[Còn lại so với ĐH]]/Tracking_SI5[[#This Row],[Số  lượng trên ĐH]]</f>
        <v>#DIV/0!</v>
      </c>
      <c r="H387" s="663"/>
      <c r="I387" s="663"/>
      <c r="J387" s="663"/>
      <c r="K387" s="664"/>
    </row>
    <row r="388" spans="1:12" s="116" customFormat="1" ht="19.5" hidden="1" customHeight="1">
      <c r="B388" s="116" t="s">
        <v>284</v>
      </c>
      <c r="E388" s="116" t="s">
        <v>286</v>
      </c>
      <c r="F388" s="663"/>
      <c r="G388" s="326" t="e">
        <f>Tracking_SI5[[#This Row],[Còn lại so với ĐH]]/Tracking_SI5[[#This Row],[Số  lượng trên ĐH]]</f>
        <v>#DIV/0!</v>
      </c>
      <c r="H388" s="663"/>
      <c r="I388" s="663"/>
      <c r="J388" s="663"/>
      <c r="K388" s="664"/>
    </row>
    <row r="389" spans="1:12" s="116" customFormat="1" ht="19.5" hidden="1" customHeight="1">
      <c r="B389" s="116" t="s">
        <v>284</v>
      </c>
      <c r="E389" s="116" t="s">
        <v>286</v>
      </c>
      <c r="F389" s="663"/>
      <c r="G389" s="326" t="e">
        <f>Tracking_SI5[[#This Row],[Còn lại so với ĐH]]/Tracking_SI5[[#This Row],[Số  lượng trên ĐH]]</f>
        <v>#DIV/0!</v>
      </c>
      <c r="H389" s="663"/>
      <c r="I389" s="663"/>
      <c r="J389" s="663"/>
      <c r="K389" s="664"/>
    </row>
    <row r="390" spans="1:12" s="116" customFormat="1" ht="19.5" hidden="1" customHeight="1">
      <c r="B390" s="116" t="s">
        <v>284</v>
      </c>
      <c r="E390" s="116" t="s">
        <v>286</v>
      </c>
      <c r="F390" s="663"/>
      <c r="G390" s="326" t="e">
        <f>Tracking_SI5[[#This Row],[Còn lại so với ĐH]]/Tracking_SI5[[#This Row],[Số  lượng trên ĐH]]</f>
        <v>#DIV/0!</v>
      </c>
      <c r="H390" s="663"/>
      <c r="I390" s="663"/>
      <c r="J390" s="663"/>
      <c r="K390" s="664"/>
    </row>
    <row r="391" spans="1:12" s="116" customFormat="1" ht="19.5" hidden="1" customHeight="1">
      <c r="B391" s="116" t="s">
        <v>284</v>
      </c>
      <c r="E391" s="116" t="s">
        <v>286</v>
      </c>
      <c r="F391" s="663"/>
      <c r="G391" s="326" t="e">
        <f>Tracking_SI5[[#This Row],[Còn lại so với ĐH]]/Tracking_SI5[[#This Row],[Số  lượng trên ĐH]]</f>
        <v>#DIV/0!</v>
      </c>
      <c r="H391" s="663"/>
      <c r="I391" s="663"/>
      <c r="J391" s="663"/>
      <c r="K391" s="664"/>
    </row>
    <row r="392" spans="1:12" s="116" customFormat="1" ht="19.5" hidden="1" customHeight="1">
      <c r="B392" s="116" t="s">
        <v>284</v>
      </c>
      <c r="E392" s="116" t="s">
        <v>286</v>
      </c>
      <c r="F392" s="665"/>
      <c r="G392" s="326" t="e">
        <f>Tracking_SI5[[#This Row],[Còn lại so với ĐH]]/Tracking_SI5[[#This Row],[Số  lượng trên ĐH]]</f>
        <v>#DIV/0!</v>
      </c>
      <c r="H392" s="665"/>
      <c r="I392" s="665"/>
      <c r="J392" s="665"/>
      <c r="K392" s="664"/>
    </row>
    <row r="393" spans="1:12" s="116" customFormat="1" ht="19.5" customHeight="1">
      <c r="A393" s="116" t="s">
        <v>106</v>
      </c>
      <c r="B393" s="81" t="s">
        <v>285</v>
      </c>
      <c r="C393" s="82" t="s">
        <v>288</v>
      </c>
      <c r="D393" s="118"/>
      <c r="E393" s="741"/>
      <c r="F393" s="206"/>
      <c r="G393" s="667"/>
      <c r="H393" s="666"/>
      <c r="I393" s="667"/>
      <c r="J393" s="666"/>
      <c r="K393" s="666"/>
      <c r="L393" s="85"/>
    </row>
    <row r="394" spans="1:12" s="116" customFormat="1" ht="19.5" customHeight="1">
      <c r="A394" s="116" t="s">
        <v>115</v>
      </c>
      <c r="B394" s="116" t="s">
        <v>285</v>
      </c>
      <c r="D394" s="341">
        <v>46189</v>
      </c>
      <c r="E394" s="731" t="s">
        <v>286</v>
      </c>
      <c r="F394" s="662">
        <v>8000</v>
      </c>
      <c r="G394" s="697">
        <f>Tracking_SI5[[#This Row],[Còn lại so với ĐH]]/Tracking_SI5[[#This Row],[Số  lượng trên ĐH]]</f>
        <v>-7.079999999999996E-2</v>
      </c>
      <c r="H394" s="662">
        <f>SUM(H395:H403)</f>
        <v>8566.4</v>
      </c>
      <c r="I394" s="602">
        <f>Tracking_SI5[[#This Row],[Số  lượng trên ĐH]]-Tracking_SI5[[#This Row],[Số  lượng giao]]</f>
        <v>-566.39999999999964</v>
      </c>
      <c r="J394" s="356">
        <v>38800</v>
      </c>
      <c r="K394" s="498"/>
    </row>
    <row r="395" spans="1:12" s="116" customFormat="1" ht="19.5" hidden="1" customHeight="1">
      <c r="B395" s="116" t="s">
        <v>285</v>
      </c>
      <c r="D395" s="116">
        <v>46221</v>
      </c>
      <c r="E395" s="472" t="s">
        <v>286</v>
      </c>
      <c r="F395" s="663"/>
      <c r="G395" s="326"/>
      <c r="H395" s="669">
        <v>199.4</v>
      </c>
      <c r="I395" s="663"/>
      <c r="J395" s="663"/>
      <c r="K395" s="664"/>
    </row>
    <row r="396" spans="1:12" s="116" customFormat="1" ht="19.5" hidden="1" customHeight="1">
      <c r="B396" s="116" t="s">
        <v>285</v>
      </c>
      <c r="D396" s="116">
        <v>46225</v>
      </c>
      <c r="E396" s="472" t="s">
        <v>286</v>
      </c>
      <c r="F396" s="663"/>
      <c r="G396" s="326"/>
      <c r="H396" s="489">
        <v>778</v>
      </c>
      <c r="I396" s="663"/>
      <c r="J396" s="663"/>
      <c r="K396" s="664"/>
    </row>
    <row r="397" spans="1:12" s="116" customFormat="1" ht="19.5" hidden="1" customHeight="1">
      <c r="B397" s="116" t="s">
        <v>285</v>
      </c>
      <c r="D397" s="116">
        <v>46230</v>
      </c>
      <c r="E397" s="472" t="s">
        <v>286</v>
      </c>
      <c r="F397" s="663"/>
      <c r="G397" s="326"/>
      <c r="H397" s="489">
        <v>1550</v>
      </c>
      <c r="I397" s="663"/>
      <c r="J397" s="663"/>
      <c r="K397" s="664"/>
    </row>
    <row r="398" spans="1:12" s="116" customFormat="1" ht="19.5" hidden="1" customHeight="1">
      <c r="B398" s="116" t="s">
        <v>285</v>
      </c>
      <c r="D398" s="116">
        <v>46280</v>
      </c>
      <c r="E398" s="742" t="s">
        <v>286</v>
      </c>
      <c r="F398" s="663"/>
      <c r="G398" s="326"/>
      <c r="H398" s="729">
        <v>1514</v>
      </c>
      <c r="I398" s="663"/>
      <c r="J398" s="663"/>
      <c r="K398" s="664"/>
    </row>
    <row r="399" spans="1:12" s="116" customFormat="1" ht="19.5" hidden="1" customHeight="1">
      <c r="A399" s="116" t="s">
        <v>118</v>
      </c>
      <c r="B399" s="116" t="s">
        <v>285</v>
      </c>
      <c r="D399" s="116">
        <v>46291</v>
      </c>
      <c r="E399" s="472" t="s">
        <v>286</v>
      </c>
      <c r="F399" s="663"/>
      <c r="G399" s="326"/>
      <c r="H399" s="489">
        <v>4525</v>
      </c>
      <c r="I399" s="663"/>
      <c r="J399" s="663"/>
      <c r="K399" s="664"/>
    </row>
    <row r="400" spans="1:12" s="116" customFormat="1" ht="19.5" hidden="1" customHeight="1">
      <c r="B400" s="116" t="s">
        <v>285</v>
      </c>
      <c r="E400" s="472" t="s">
        <v>286</v>
      </c>
      <c r="F400" s="663"/>
      <c r="G400" s="326"/>
      <c r="H400" s="663"/>
      <c r="I400" s="663"/>
      <c r="J400" s="663"/>
      <c r="K400" s="664"/>
    </row>
    <row r="401" spans="1:23" s="116" customFormat="1" ht="19.5" hidden="1" customHeight="1">
      <c r="B401" s="116" t="s">
        <v>285</v>
      </c>
      <c r="E401" s="472" t="s">
        <v>286</v>
      </c>
      <c r="F401" s="663"/>
      <c r="G401" s="326"/>
      <c r="H401" s="663"/>
      <c r="I401" s="663"/>
      <c r="J401" s="663"/>
      <c r="K401" s="664"/>
    </row>
    <row r="402" spans="1:23" s="116" customFormat="1" ht="19.5" hidden="1" customHeight="1">
      <c r="B402" s="116" t="s">
        <v>285</v>
      </c>
      <c r="E402" s="472" t="s">
        <v>286</v>
      </c>
      <c r="F402" s="663"/>
      <c r="G402" s="326"/>
      <c r="H402" s="663"/>
      <c r="I402" s="663"/>
      <c r="J402" s="663"/>
      <c r="K402" s="664"/>
    </row>
    <row r="403" spans="1:23" s="116" customFormat="1" ht="19.5" hidden="1" customHeight="1">
      <c r="B403" s="116" t="s">
        <v>285</v>
      </c>
      <c r="E403" s="472" t="s">
        <v>286</v>
      </c>
      <c r="F403" s="665"/>
      <c r="G403" s="326"/>
      <c r="H403" s="665"/>
      <c r="I403" s="665"/>
      <c r="J403" s="665"/>
      <c r="K403" s="664"/>
    </row>
    <row r="404" spans="1:23" ht="19.2" customHeight="1">
      <c r="A404" s="58" t="s">
        <v>106</v>
      </c>
      <c r="B404" s="81" t="s">
        <v>135</v>
      </c>
      <c r="C404" s="82" t="s">
        <v>136</v>
      </c>
      <c r="D404" s="118"/>
      <c r="E404" s="83"/>
      <c r="F404" s="84"/>
      <c r="G404" s="84"/>
      <c r="H404" s="84"/>
      <c r="I404" s="206"/>
      <c r="J404" s="87"/>
      <c r="K404" s="142"/>
      <c r="L404" s="85"/>
    </row>
    <row r="405" spans="1:23" ht="18" customHeight="1">
      <c r="A405" s="57" t="s">
        <v>115</v>
      </c>
      <c r="B405" s="421" t="s">
        <v>135</v>
      </c>
      <c r="C405" s="48"/>
      <c r="D405" s="113">
        <v>46064</v>
      </c>
      <c r="E405" s="28" t="s">
        <v>202</v>
      </c>
      <c r="F405" s="223">
        <v>12000</v>
      </c>
      <c r="G405" s="539">
        <f>Tracking_SI5[[#This Row],[Còn lại so với ĐH]]/Tracking_SI5[[#This Row],[Số  lượng trên ĐH]]</f>
        <v>5.2416666666666667E-2</v>
      </c>
      <c r="H405" s="165">
        <f>SUM(H406)</f>
        <v>11371</v>
      </c>
      <c r="I405" s="759">
        <f>Tracking_SI5[[#This Row],[Số  lượng trên ĐH]]-Tracking_SI5[[#This Row],[Số  lượng giao]]</f>
        <v>629</v>
      </c>
      <c r="J405" s="165"/>
      <c r="K405" s="127" t="s">
        <v>282</v>
      </c>
      <c r="L405" s="32"/>
    </row>
    <row r="406" spans="1:23" ht="18" hidden="1" customHeight="1">
      <c r="A406" s="57"/>
      <c r="B406" s="57" t="s">
        <v>135</v>
      </c>
      <c r="C406" s="48"/>
      <c r="D406" s="116" t="s">
        <v>262</v>
      </c>
      <c r="E406" s="30"/>
      <c r="F406" s="174"/>
      <c r="G406" s="323"/>
      <c r="H406" s="164">
        <v>11371</v>
      </c>
      <c r="I406" s="606"/>
      <c r="J406" s="344"/>
      <c r="K406" s="133" t="s">
        <v>118</v>
      </c>
      <c r="L406" s="32"/>
    </row>
    <row r="407" spans="1:23" ht="18" customHeight="1">
      <c r="A407" s="57" t="s">
        <v>115</v>
      </c>
      <c r="B407" s="57" t="s">
        <v>135</v>
      </c>
      <c r="C407" s="48"/>
      <c r="D407" s="341">
        <v>46189</v>
      </c>
      <c r="E407" s="342" t="s">
        <v>286</v>
      </c>
      <c r="F407" s="343">
        <v>15000</v>
      </c>
      <c r="G407" s="697">
        <f>Tracking_SI5[[#This Row],[Còn lại so với ĐH]]/Tracking_SI5[[#This Row],[Số  lượng trên ĐH]]</f>
        <v>-8.6E-3</v>
      </c>
      <c r="H407" s="343">
        <f>SUM(H408:H411)</f>
        <v>15129</v>
      </c>
      <c r="I407" s="602">
        <f>Tracking_SI5[[#This Row],[Số  lượng trên ĐH]]-Tracking_SI5[[#This Row],[Số  lượng giao]]</f>
        <v>-129</v>
      </c>
      <c r="J407" s="356">
        <v>38800</v>
      </c>
      <c r="K407" s="133"/>
      <c r="L407" s="32"/>
    </row>
    <row r="408" spans="1:23" ht="18" hidden="1" customHeight="1">
      <c r="A408" s="57"/>
      <c r="B408" s="57" t="s">
        <v>135</v>
      </c>
      <c r="C408" s="48"/>
      <c r="D408" s="116">
        <v>46251</v>
      </c>
      <c r="E408" s="735" t="s">
        <v>286</v>
      </c>
      <c r="F408" s="174"/>
      <c r="G408" s="323"/>
      <c r="H408" s="164">
        <v>5290</v>
      </c>
      <c r="I408" s="606"/>
      <c r="J408" s="344"/>
      <c r="K408" s="133"/>
      <c r="L408" s="32"/>
    </row>
    <row r="409" spans="1:23" hidden="1">
      <c r="A409" s="57"/>
      <c r="B409" s="57" t="s">
        <v>135</v>
      </c>
      <c r="C409" s="48"/>
      <c r="D409" s="116">
        <v>46283</v>
      </c>
      <c r="E409" s="735" t="s">
        <v>286</v>
      </c>
      <c r="F409" s="174"/>
      <c r="G409" s="323"/>
      <c r="H409" s="164">
        <v>5078</v>
      </c>
      <c r="I409" s="606"/>
      <c r="J409" s="344"/>
      <c r="K409" s="133"/>
      <c r="L409" s="32"/>
    </row>
    <row r="410" spans="1:23" ht="18" hidden="1" customHeight="1">
      <c r="A410" s="57"/>
      <c r="B410" s="57" t="s">
        <v>135</v>
      </c>
      <c r="C410" s="48"/>
      <c r="D410" s="116">
        <v>46294</v>
      </c>
      <c r="E410" s="735" t="s">
        <v>286</v>
      </c>
      <c r="F410" s="174"/>
      <c r="G410" s="323"/>
      <c r="H410" s="164">
        <v>2194</v>
      </c>
      <c r="I410" s="606"/>
      <c r="J410" s="344"/>
      <c r="K410" s="133"/>
      <c r="L410" s="32"/>
    </row>
    <row r="411" spans="1:23" s="2" customFormat="1" ht="18" hidden="1" customHeight="1">
      <c r="A411" s="57" t="s">
        <v>118</v>
      </c>
      <c r="B411" s="57" t="s">
        <v>135</v>
      </c>
      <c r="C411" s="48"/>
      <c r="D411" s="116">
        <v>46297</v>
      </c>
      <c r="E411" s="735" t="s">
        <v>286</v>
      </c>
      <c r="F411" s="174"/>
      <c r="G411" s="323"/>
      <c r="H411" s="174">
        <v>2567</v>
      </c>
      <c r="I411" s="606"/>
      <c r="J411" s="344"/>
      <c r="K411" s="133"/>
      <c r="L411" s="32"/>
      <c r="R411" s="17"/>
      <c r="S411" s="17"/>
      <c r="T411" s="17"/>
      <c r="U411" s="17"/>
      <c r="V411" s="17"/>
      <c r="W411" s="17"/>
    </row>
    <row r="412" spans="1:23" s="2" customFormat="1" ht="18" customHeight="1">
      <c r="A412" s="58" t="s">
        <v>106</v>
      </c>
      <c r="B412" s="81" t="s">
        <v>166</v>
      </c>
      <c r="C412" s="82" t="s">
        <v>168</v>
      </c>
      <c r="D412" s="118"/>
      <c r="E412" s="83"/>
      <c r="F412" s="84"/>
      <c r="G412" s="323" t="e">
        <f>Tracking_SI5[[#This Row],[Còn lại so với ĐH]]/Tracking_SI5[[#This Row],[Số  lượng trên ĐH]]</f>
        <v>#DIV/0!</v>
      </c>
      <c r="H412" s="84"/>
      <c r="I412" s="206"/>
      <c r="J412" s="85"/>
      <c r="K412" s="141"/>
      <c r="L412" s="85"/>
      <c r="R412" s="17"/>
      <c r="S412" s="17"/>
      <c r="T412" s="17"/>
      <c r="U412" s="17"/>
      <c r="V412" s="17"/>
      <c r="W412" s="17"/>
    </row>
    <row r="413" spans="1:23" ht="18" hidden="1" customHeight="1">
      <c r="A413" s="57"/>
      <c r="B413" s="57" t="s">
        <v>166</v>
      </c>
      <c r="C413" s="48"/>
      <c r="D413" s="116"/>
      <c r="E413" s="30"/>
      <c r="F413" s="174"/>
      <c r="G413" s="323" t="e">
        <f>Tracking_SI5[[#This Row],[Còn lại so với ĐH]]/Tracking_SI5[[#This Row],[Số  lượng trên ĐH]]</f>
        <v>#DIV/0!</v>
      </c>
      <c r="H413" s="174"/>
      <c r="I413" s="606"/>
      <c r="J413" s="344"/>
      <c r="K413" s="133"/>
      <c r="L413" s="32"/>
    </row>
    <row r="414" spans="1:23" ht="18" hidden="1" customHeight="1">
      <c r="A414" s="57"/>
      <c r="B414" s="57" t="s">
        <v>166</v>
      </c>
      <c r="C414" s="48"/>
      <c r="D414" s="116"/>
      <c r="E414" s="30"/>
      <c r="F414" s="174"/>
      <c r="G414" s="323" t="e">
        <f>Tracking_SI5[[#This Row],[Còn lại so với ĐH]]/Tracking_SI5[[#This Row],[Số  lượng trên ĐH]]</f>
        <v>#DIV/0!</v>
      </c>
      <c r="H414" s="174"/>
      <c r="I414" s="606"/>
      <c r="J414" s="344"/>
      <c r="K414" s="133"/>
      <c r="L414" s="32"/>
    </row>
    <row r="415" spans="1:23" ht="18" customHeight="1">
      <c r="A415" s="58" t="s">
        <v>106</v>
      </c>
      <c r="B415" s="81" t="s">
        <v>170</v>
      </c>
      <c r="C415" s="82" t="s">
        <v>174</v>
      </c>
      <c r="D415" s="118"/>
      <c r="E415" s="83"/>
      <c r="F415" s="84"/>
      <c r="G415" s="323" t="e">
        <f>Tracking_SI5[[#This Row],[Còn lại so với ĐH]]/Tracking_SI5[[#This Row],[Số  lượng trên ĐH]]</f>
        <v>#DIV/0!</v>
      </c>
      <c r="H415" s="84"/>
      <c r="I415" s="206"/>
      <c r="J415" s="85"/>
      <c r="K415" s="141"/>
      <c r="L415" s="85"/>
    </row>
    <row r="416" spans="1:23" ht="20.25" customHeight="1">
      <c r="A416" s="57" t="s">
        <v>115</v>
      </c>
      <c r="B416" s="57" t="s">
        <v>170</v>
      </c>
      <c r="C416" s="312"/>
      <c r="D416" s="341">
        <v>46077</v>
      </c>
      <c r="E416" s="342" t="s">
        <v>209</v>
      </c>
      <c r="F416" s="343">
        <v>20000</v>
      </c>
      <c r="G416" s="323">
        <f>Tracking_SI5[[#This Row],[Còn lại so với ĐH]]/Tracking_SI5[[#This Row],[Số  lượng trên ĐH]]</f>
        <v>-5.9299999999999999E-2</v>
      </c>
      <c r="H416" s="378">
        <f>SUM(H417:H421)</f>
        <v>21186</v>
      </c>
      <c r="I416" s="378">
        <f>Tracking_SI5[[#This Row],[Số  lượng trên ĐH]]-Tracking_SI5[[#This Row],[Số  lượng giao]]</f>
        <v>-1186</v>
      </c>
      <c r="J416" s="599"/>
      <c r="K416" s="356" t="s">
        <v>116</v>
      </c>
      <c r="L416" s="32" t="s">
        <v>275</v>
      </c>
    </row>
    <row r="417" spans="1:12" ht="20.25" hidden="1" customHeight="1">
      <c r="A417" s="57"/>
      <c r="B417" s="57" t="s">
        <v>170</v>
      </c>
      <c r="C417" s="312"/>
      <c r="D417" s="116" t="s">
        <v>262</v>
      </c>
      <c r="E417" s="30" t="s">
        <v>209</v>
      </c>
      <c r="F417" s="166"/>
      <c r="G417" s="323" t="e">
        <f>Tracking_SI5[[#This Row],[Còn lại so với ĐH]]/Tracking_SI5[[#This Row],[Số  lượng trên ĐH]]</f>
        <v>#DIV/0!</v>
      </c>
      <c r="H417" s="166">
        <v>14157</v>
      </c>
      <c r="I417" s="606"/>
      <c r="J417" s="344"/>
      <c r="K417" s="133" t="s">
        <v>118</v>
      </c>
      <c r="L417" s="32"/>
    </row>
    <row r="418" spans="1:12" ht="18" hidden="1" customHeight="1">
      <c r="A418" s="57"/>
      <c r="B418" s="57" t="s">
        <v>170</v>
      </c>
      <c r="C418" s="261"/>
      <c r="D418" s="116">
        <v>46148</v>
      </c>
      <c r="E418" s="30" t="s">
        <v>209</v>
      </c>
      <c r="F418" s="166"/>
      <c r="G418" s="326" t="e">
        <f>Tracking_SI5[[#This Row],[Còn lại so với ĐH]]/Tracking_SI5[[#This Row],[Số  lượng trên ĐH]]</f>
        <v>#DIV/0!</v>
      </c>
      <c r="H418" s="164">
        <v>1075</v>
      </c>
      <c r="I418" s="606"/>
      <c r="J418" s="344"/>
      <c r="K418" s="133" t="s">
        <v>118</v>
      </c>
      <c r="L418" s="32"/>
    </row>
    <row r="419" spans="1:12" ht="18" hidden="1" customHeight="1">
      <c r="A419" s="57"/>
      <c r="B419" s="57" t="s">
        <v>170</v>
      </c>
      <c r="C419" s="261"/>
      <c r="D419" s="108">
        <v>46157</v>
      </c>
      <c r="E419" s="30" t="s">
        <v>209</v>
      </c>
      <c r="F419" s="166"/>
      <c r="G419" s="326" t="e">
        <f>Tracking_SI5[[#This Row],[Còn lại so với ĐH]]/Tracking_SI5[[#This Row],[Số  lượng trên ĐH]]</f>
        <v>#DIV/0!</v>
      </c>
      <c r="H419" s="166">
        <v>1357</v>
      </c>
      <c r="I419" s="606"/>
      <c r="J419" s="344"/>
      <c r="K419" s="133" t="s">
        <v>118</v>
      </c>
      <c r="L419" s="32"/>
    </row>
    <row r="420" spans="1:12" ht="18" hidden="1" customHeight="1">
      <c r="A420" s="57"/>
      <c r="B420" s="57" t="s">
        <v>170</v>
      </c>
      <c r="C420" s="261"/>
      <c r="D420" s="108">
        <v>46175</v>
      </c>
      <c r="E420" s="30" t="s">
        <v>209</v>
      </c>
      <c r="F420" s="166"/>
      <c r="G420" s="326" t="e">
        <f>Tracking_SI5[[#This Row],[Còn lại so với ĐH]]/Tracking_SI5[[#This Row],[Số  lượng trên ĐH]]</f>
        <v>#DIV/0!</v>
      </c>
      <c r="H420" s="166">
        <v>1895</v>
      </c>
      <c r="I420" s="606"/>
      <c r="J420" s="344"/>
      <c r="K420" s="133" t="s">
        <v>118</v>
      </c>
      <c r="L420" s="32"/>
    </row>
    <row r="421" spans="1:12" ht="18" hidden="1" customHeight="1">
      <c r="A421" s="57"/>
      <c r="B421" s="57" t="s">
        <v>170</v>
      </c>
      <c r="C421" s="261"/>
      <c r="D421" s="111">
        <v>46184</v>
      </c>
      <c r="E421" s="30" t="s">
        <v>209</v>
      </c>
      <c r="F421" s="166"/>
      <c r="G421" s="326" t="e">
        <f>Tracking_SI5[[#This Row],[Còn lại so với ĐH]]/Tracking_SI5[[#This Row],[Số  lượng trên ĐH]]</f>
        <v>#DIV/0!</v>
      </c>
      <c r="H421" s="166">
        <v>2702</v>
      </c>
      <c r="I421" s="606"/>
      <c r="J421" s="344"/>
      <c r="K421" s="133" t="s">
        <v>118</v>
      </c>
      <c r="L421" s="32"/>
    </row>
    <row r="422" spans="1:12" ht="20.25" customHeight="1">
      <c r="A422" s="57" t="s">
        <v>115</v>
      </c>
      <c r="B422" s="57" t="s">
        <v>170</v>
      </c>
      <c r="C422" s="312"/>
      <c r="D422" s="341">
        <v>46230</v>
      </c>
      <c r="E422" s="342" t="s">
        <v>292</v>
      </c>
      <c r="F422" s="343">
        <v>3000</v>
      </c>
      <c r="G422" s="323">
        <f>Tracking_SI5[[#This Row],[Còn lại so với ĐH]]/Tracking_SI5[[#This Row],[Số  lượng trên ĐH]]</f>
        <v>-9.1333333333333336E-2</v>
      </c>
      <c r="H422" s="378">
        <f>SUM(H423:H426)</f>
        <v>3274</v>
      </c>
      <c r="I422" s="378">
        <f>Tracking_SI5[[#This Row],[Số  lượng trên ĐH]]-Tracking_SI5[[#This Row],[Số  lượng giao]]</f>
        <v>-274</v>
      </c>
      <c r="J422" s="599"/>
      <c r="K422" s="356"/>
      <c r="L422" s="32"/>
    </row>
    <row r="423" spans="1:12" ht="18" hidden="1" customHeight="1">
      <c r="A423" s="57"/>
      <c r="B423" s="57" t="s">
        <v>170</v>
      </c>
      <c r="C423" s="261"/>
      <c r="D423" s="116">
        <v>46230</v>
      </c>
      <c r="E423" s="30" t="s">
        <v>292</v>
      </c>
      <c r="F423" s="166"/>
      <c r="G423" s="326" t="e">
        <f>Tracking_SI5[[#This Row],[Còn lại so với ĐH]]/Tracking_SI5[[#This Row],[Số  lượng trên ĐH]]</f>
        <v>#DIV/0!</v>
      </c>
      <c r="H423" s="166">
        <v>2729</v>
      </c>
      <c r="I423" s="606"/>
      <c r="J423" s="344"/>
      <c r="K423" s="133"/>
      <c r="L423" s="32"/>
    </row>
    <row r="424" spans="1:12" ht="18" hidden="1" customHeight="1">
      <c r="A424" s="57" t="s">
        <v>118</v>
      </c>
      <c r="B424" s="57" t="s">
        <v>170</v>
      </c>
      <c r="C424" s="261"/>
      <c r="D424" s="116">
        <v>46251</v>
      </c>
      <c r="E424" s="30" t="s">
        <v>292</v>
      </c>
      <c r="F424" s="166"/>
      <c r="G424" s="326" t="e">
        <f>Tracking_SI5[[#This Row],[Còn lại so với ĐH]]/Tracking_SI5[[#This Row],[Số  lượng trên ĐH]]</f>
        <v>#DIV/0!</v>
      </c>
      <c r="H424" s="166">
        <v>545</v>
      </c>
      <c r="I424" s="606"/>
      <c r="J424" s="344"/>
      <c r="K424" s="133"/>
      <c r="L424" s="32"/>
    </row>
    <row r="425" spans="1:12" ht="18" hidden="1" customHeight="1">
      <c r="A425" s="57"/>
      <c r="B425" s="57" t="s">
        <v>170</v>
      </c>
      <c r="C425" s="261"/>
      <c r="D425" s="116"/>
      <c r="E425" s="30" t="s">
        <v>292</v>
      </c>
      <c r="F425" s="166"/>
      <c r="G425" s="326" t="e">
        <f>Tracking_SI5[[#This Row],[Còn lại so với ĐH]]/Tracking_SI5[[#This Row],[Số  lượng trên ĐH]]</f>
        <v>#DIV/0!</v>
      </c>
      <c r="H425" s="166"/>
      <c r="I425" s="606"/>
      <c r="J425" s="344"/>
      <c r="K425" s="133"/>
      <c r="L425" s="32"/>
    </row>
    <row r="426" spans="1:12" ht="18" hidden="1" customHeight="1">
      <c r="A426" s="57"/>
      <c r="B426" s="57" t="s">
        <v>170</v>
      </c>
      <c r="C426" s="48"/>
      <c r="D426" s="116"/>
      <c r="E426" s="30" t="s">
        <v>292</v>
      </c>
      <c r="F426" s="174"/>
      <c r="G426" s="323" t="e">
        <f>Tracking_SI5[[#This Row],[Còn lại so với ĐH]]/Tracking_SI5[[#This Row],[Số  lượng trên ĐH]]</f>
        <v>#DIV/0!</v>
      </c>
      <c r="H426" s="174"/>
      <c r="I426" s="606"/>
      <c r="J426" s="344"/>
      <c r="K426" s="133"/>
      <c r="L426" s="32"/>
    </row>
    <row r="427" spans="1:12" ht="18" customHeight="1">
      <c r="A427" s="58" t="s">
        <v>106</v>
      </c>
      <c r="B427" s="81"/>
      <c r="C427" s="82" t="s">
        <v>74</v>
      </c>
      <c r="D427" s="118"/>
      <c r="E427" s="83"/>
      <c r="F427" s="84"/>
      <c r="G427" s="323" t="e">
        <f>Tracking_SI5[[#This Row],[Còn lại so với ĐH]]/Tracking_SI5[[#This Row],[Số  lượng trên ĐH]]</f>
        <v>#DIV/0!</v>
      </c>
      <c r="H427" s="84"/>
      <c r="I427" s="206"/>
      <c r="J427" s="87"/>
      <c r="K427" s="142"/>
      <c r="L427" s="85"/>
    </row>
    <row r="428" spans="1:12" ht="18" hidden="1" customHeight="1">
      <c r="A428" s="58"/>
      <c r="B428" s="112"/>
      <c r="C428" s="46"/>
      <c r="D428" s="111"/>
      <c r="E428" s="25"/>
      <c r="F428" s="163"/>
      <c r="G428" s="326" t="e">
        <f>Tracking_SI5[[#This Row],[Còn lại so với ĐH]]/Tracking_SI5[[#This Row],[Số  lượng trên ĐH]]</f>
        <v>#DIV/0!</v>
      </c>
      <c r="H428" s="170"/>
      <c r="I428" s="607"/>
      <c r="J428" s="163"/>
      <c r="K428" s="127"/>
      <c r="L428" s="45"/>
    </row>
    <row r="429" spans="1:12" ht="18" hidden="1" customHeight="1">
      <c r="A429" s="57"/>
      <c r="B429" s="112"/>
      <c r="C429" s="46"/>
      <c r="D429" s="116"/>
      <c r="E429" s="30"/>
      <c r="F429" s="169"/>
      <c r="G429" s="323" t="e">
        <f>Tracking_SI5[[#This Row],[Còn lại so với ĐH]]/Tracking_SI5[[#This Row],[Số  lượng trên ĐH]]</f>
        <v>#DIV/0!</v>
      </c>
      <c r="H429" s="169"/>
      <c r="I429" s="606"/>
      <c r="J429" s="618"/>
      <c r="K429" s="139"/>
      <c r="L429" s="37"/>
    </row>
    <row r="430" spans="1:12" ht="18" hidden="1" customHeight="1">
      <c r="A430" s="57"/>
      <c r="B430" s="112"/>
      <c r="C430" s="46"/>
      <c r="D430" s="116"/>
      <c r="E430" s="30"/>
      <c r="F430" s="169"/>
      <c r="G430" s="323" t="e">
        <f>Tracking_SI5[[#This Row],[Còn lại so với ĐH]]/Tracking_SI5[[#This Row],[Số  lượng trên ĐH]]</f>
        <v>#DIV/0!</v>
      </c>
      <c r="H430" s="169"/>
      <c r="I430" s="606"/>
      <c r="J430" s="618"/>
      <c r="K430" s="139"/>
      <c r="L430" s="37"/>
    </row>
    <row r="431" spans="1:12" ht="18" hidden="1" customHeight="1">
      <c r="A431" s="57"/>
      <c r="B431" s="112"/>
      <c r="C431" s="46"/>
      <c r="D431" s="116"/>
      <c r="E431" s="30"/>
      <c r="F431" s="169"/>
      <c r="G431" s="323" t="e">
        <f>Tracking_SI5[[#This Row],[Còn lại so với ĐH]]/Tracking_SI5[[#This Row],[Số  lượng trên ĐH]]</f>
        <v>#DIV/0!</v>
      </c>
      <c r="H431" s="169"/>
      <c r="I431" s="606"/>
      <c r="J431" s="618"/>
      <c r="K431" s="139"/>
      <c r="L431" s="37"/>
    </row>
    <row r="432" spans="1:12" ht="18" customHeight="1">
      <c r="A432" s="58" t="s">
        <v>106</v>
      </c>
      <c r="B432" s="81"/>
      <c r="C432" s="82" t="s">
        <v>76</v>
      </c>
      <c r="D432" s="118"/>
      <c r="E432" s="83"/>
      <c r="F432" s="84"/>
      <c r="G432" s="323" t="e">
        <f>Tracking_SI5[[#This Row],[Còn lại so với ĐH]]/Tracking_SI5[[#This Row],[Số  lượng trên ĐH]]</f>
        <v>#DIV/0!</v>
      </c>
      <c r="H432" s="84"/>
      <c r="I432" s="207"/>
      <c r="J432" s="87"/>
      <c r="K432" s="142"/>
      <c r="L432" s="85"/>
    </row>
    <row r="433" spans="1:12" ht="20.25" hidden="1" customHeight="1">
      <c r="A433" s="58"/>
      <c r="B433" s="112"/>
      <c r="C433" s="50"/>
      <c r="D433" s="116"/>
      <c r="E433" s="24"/>
      <c r="F433" s="163"/>
      <c r="G433" s="326" t="e">
        <f>Tracking_SI5[[#This Row],[Còn lại so với ĐH]]/Tracking_SI5[[#This Row],[Số  lượng trên ĐH]]</f>
        <v>#DIV/0!</v>
      </c>
      <c r="H433" s="163"/>
      <c r="I433" s="606"/>
      <c r="J433" s="163"/>
      <c r="K433" s="138"/>
      <c r="L433" s="24"/>
    </row>
    <row r="434" spans="1:12" ht="20.25" hidden="1" customHeight="1">
      <c r="A434" s="57"/>
      <c r="B434" s="112"/>
      <c r="C434" s="50"/>
      <c r="D434" s="116"/>
      <c r="E434" s="31"/>
      <c r="F434" s="166"/>
      <c r="G434" s="326" t="e">
        <f>Tracking_SI5[[#This Row],[Còn lại so với ĐH]]/Tracking_SI5[[#This Row],[Số  lượng trên ĐH]]</f>
        <v>#DIV/0!</v>
      </c>
      <c r="H434" s="166"/>
      <c r="I434" s="606"/>
      <c r="J434" s="344"/>
      <c r="K434" s="138"/>
      <c r="L434" s="32"/>
    </row>
    <row r="435" spans="1:12" ht="20.25" hidden="1" customHeight="1">
      <c r="A435" s="58"/>
      <c r="B435" s="112"/>
      <c r="C435" s="50"/>
      <c r="D435" s="111"/>
      <c r="E435" s="25"/>
      <c r="F435" s="163"/>
      <c r="G435" s="326" t="e">
        <f>Tracking_SI5[[#This Row],[Còn lại so với ĐH]]/Tracking_SI5[[#This Row],[Số  lượng trên ĐH]]</f>
        <v>#DIV/0!</v>
      </c>
      <c r="H435" s="163"/>
      <c r="I435" s="607"/>
      <c r="J435" s="163"/>
      <c r="K435" s="130"/>
      <c r="L435" s="24"/>
    </row>
    <row r="436" spans="1:12" ht="20.25" hidden="1" customHeight="1">
      <c r="A436" s="57"/>
      <c r="B436" s="112"/>
      <c r="C436" s="50"/>
      <c r="D436" s="116"/>
      <c r="E436" s="27"/>
      <c r="F436" s="166"/>
      <c r="G436" s="326" t="e">
        <f>Tracking_SI5[[#This Row],[Còn lại so với ĐH]]/Tracking_SI5[[#This Row],[Số  lượng trên ĐH]]</f>
        <v>#DIV/0!</v>
      </c>
      <c r="H436" s="166"/>
      <c r="I436" s="606"/>
      <c r="J436" s="344"/>
      <c r="K436" s="133"/>
      <c r="L436" s="32"/>
    </row>
    <row r="437" spans="1:12" ht="20.25" hidden="1" customHeight="1">
      <c r="A437" s="57"/>
      <c r="B437" s="112"/>
      <c r="C437" s="50"/>
      <c r="D437" s="111"/>
      <c r="E437" s="25"/>
      <c r="F437" s="163"/>
      <c r="G437" s="323" t="e">
        <f>Tracking_SI5[[#This Row],[Còn lại so với ĐH]]/Tracking_SI5[[#This Row],[Số  lượng trên ĐH]]</f>
        <v>#DIV/0!</v>
      </c>
      <c r="H437" s="163"/>
      <c r="I437" s="607"/>
      <c r="J437" s="163"/>
      <c r="K437" s="130"/>
      <c r="L437" s="32"/>
    </row>
    <row r="438" spans="1:12" ht="20.25" hidden="1" customHeight="1">
      <c r="A438" s="57"/>
      <c r="B438" s="112"/>
      <c r="C438" s="50"/>
      <c r="D438" s="116"/>
      <c r="E438" s="31"/>
      <c r="F438" s="166"/>
      <c r="G438" s="326" t="e">
        <f>Tracking_SI5[[#This Row],[Còn lại so với ĐH]]/Tracking_SI5[[#This Row],[Số  lượng trên ĐH]]</f>
        <v>#DIV/0!</v>
      </c>
      <c r="H438" s="166"/>
      <c r="I438" s="606"/>
      <c r="J438" s="344"/>
      <c r="K438" s="133"/>
      <c r="L438" s="32"/>
    </row>
    <row r="439" spans="1:12" ht="20.25" customHeight="1">
      <c r="A439" s="58" t="s">
        <v>106</v>
      </c>
      <c r="B439" s="81"/>
      <c r="C439" s="88" t="s">
        <v>77</v>
      </c>
      <c r="D439" s="118"/>
      <c r="E439" s="83"/>
      <c r="F439" s="83"/>
      <c r="G439" s="326" t="e">
        <f>Tracking_SI5[[#This Row],[Còn lại so với ĐH]]/Tracking_SI5[[#This Row],[Số  lượng trên ĐH]]</f>
        <v>#DIV/0!</v>
      </c>
      <c r="H439" s="83"/>
      <c r="I439" s="206"/>
      <c r="J439" s="87"/>
      <c r="K439" s="142"/>
      <c r="L439" s="85"/>
    </row>
    <row r="440" spans="1:12" ht="20.25" hidden="1" customHeight="1">
      <c r="A440" s="58"/>
      <c r="B440" s="112"/>
      <c r="C440" s="46"/>
      <c r="D440" s="183"/>
      <c r="E440" s="194"/>
      <c r="F440" s="172"/>
      <c r="G440" s="326" t="e">
        <f>Tracking_SI5[[#This Row],[Còn lại so với ĐH]]/Tracking_SI5[[#This Row],[Số  lượng trên ĐH]]</f>
        <v>#DIV/0!</v>
      </c>
      <c r="H440" s="172"/>
      <c r="I440" s="614"/>
      <c r="J440" s="172"/>
      <c r="K440" s="127"/>
      <c r="L440" s="29"/>
    </row>
    <row r="441" spans="1:12" ht="20.25" hidden="1" customHeight="1">
      <c r="A441" s="57"/>
      <c r="B441" s="112"/>
      <c r="C441" s="46"/>
      <c r="D441" s="116"/>
      <c r="E441" s="30"/>
      <c r="F441" s="166"/>
      <c r="G441" s="323" t="e">
        <f>Tracking_SI5[[#This Row],[Còn lại so với ĐH]]/Tracking_SI5[[#This Row],[Số  lượng trên ĐH]]</f>
        <v>#DIV/0!</v>
      </c>
      <c r="H441" s="166"/>
      <c r="I441" s="619"/>
      <c r="J441" s="344"/>
      <c r="K441" s="133"/>
      <c r="L441" s="32"/>
    </row>
    <row r="442" spans="1:12" ht="20.25" hidden="1" customHeight="1">
      <c r="A442" s="57"/>
      <c r="B442" s="112"/>
      <c r="C442" s="46"/>
      <c r="D442" s="116"/>
      <c r="E442" s="30"/>
      <c r="F442" s="166"/>
      <c r="G442" s="323" t="e">
        <f>Tracking_SI5[[#This Row],[Còn lại so với ĐH]]/Tracking_SI5[[#This Row],[Số  lượng trên ĐH]]</f>
        <v>#DIV/0!</v>
      </c>
      <c r="H442" s="166"/>
      <c r="I442" s="606"/>
      <c r="J442" s="344"/>
      <c r="K442" s="133"/>
      <c r="L442" s="32"/>
    </row>
    <row r="443" spans="1:12" ht="20.25" hidden="1" customHeight="1">
      <c r="A443" s="57"/>
      <c r="B443" s="112"/>
      <c r="C443" s="46"/>
      <c r="D443" s="116"/>
      <c r="E443" s="30"/>
      <c r="F443" s="166"/>
      <c r="G443" s="323" t="e">
        <f>Tracking_SI5[[#This Row],[Còn lại so với ĐH]]/Tracking_SI5[[#This Row],[Số  lượng trên ĐH]]</f>
        <v>#DIV/0!</v>
      </c>
      <c r="H443" s="166"/>
      <c r="I443" s="606"/>
      <c r="J443" s="344"/>
      <c r="K443" s="133"/>
      <c r="L443" s="32"/>
    </row>
    <row r="444" spans="1:12" ht="20.25" hidden="1" customHeight="1">
      <c r="A444" s="57"/>
      <c r="B444" s="112"/>
      <c r="C444" s="46"/>
      <c r="D444" s="116"/>
      <c r="E444" s="30"/>
      <c r="F444" s="166"/>
      <c r="G444" s="323" t="e">
        <f>Tracking_SI5[[#This Row],[Còn lại so với ĐH]]/Tracking_SI5[[#This Row],[Số  lượng trên ĐH]]</f>
        <v>#DIV/0!</v>
      </c>
      <c r="H444" s="166"/>
      <c r="I444" s="606"/>
      <c r="J444" s="344"/>
      <c r="K444" s="133"/>
      <c r="L444" s="32"/>
    </row>
    <row r="445" spans="1:12" ht="20.25" hidden="1" customHeight="1">
      <c r="A445" s="57"/>
      <c r="B445" s="112"/>
      <c r="C445" s="46"/>
      <c r="D445" s="116"/>
      <c r="E445" s="30"/>
      <c r="F445" s="166"/>
      <c r="G445" s="323" t="e">
        <f>Tracking_SI5[[#This Row],[Còn lại so với ĐH]]/Tracking_SI5[[#This Row],[Số  lượng trên ĐH]]</f>
        <v>#DIV/0!</v>
      </c>
      <c r="H445" s="166"/>
      <c r="I445" s="606"/>
      <c r="J445" s="344"/>
      <c r="K445" s="133"/>
      <c r="L445" s="32"/>
    </row>
    <row r="446" spans="1:12" ht="20.25" hidden="1" customHeight="1">
      <c r="A446" s="57"/>
      <c r="B446" s="112"/>
      <c r="C446" s="46"/>
      <c r="D446" s="116"/>
      <c r="E446" s="30"/>
      <c r="F446" s="166"/>
      <c r="G446" s="323" t="e">
        <f>Tracking_SI5[[#This Row],[Còn lại so với ĐH]]/Tracking_SI5[[#This Row],[Số  lượng trên ĐH]]</f>
        <v>#DIV/0!</v>
      </c>
      <c r="H446" s="166"/>
      <c r="I446" s="606"/>
      <c r="J446" s="344"/>
      <c r="K446" s="133"/>
      <c r="L446" s="32"/>
    </row>
    <row r="447" spans="1:12" ht="20.25" customHeight="1">
      <c r="A447" s="58" t="s">
        <v>106</v>
      </c>
      <c r="B447" s="81" t="s">
        <v>79</v>
      </c>
      <c r="C447" s="88" t="s">
        <v>112</v>
      </c>
      <c r="D447" s="118"/>
      <c r="E447" s="83"/>
      <c r="F447" s="83"/>
      <c r="G447" s="323" t="e">
        <f>Tracking_SI5[[#This Row],[Còn lại so với ĐH]]/Tracking_SI5[[#This Row],[Số  lượng trên ĐH]]</f>
        <v>#DIV/0!</v>
      </c>
      <c r="H447" s="84"/>
      <c r="I447" s="206"/>
      <c r="J447" s="85"/>
      <c r="K447" s="141"/>
      <c r="L447" s="85"/>
    </row>
    <row r="448" spans="1:12" ht="20.25" hidden="1" customHeight="1">
      <c r="A448" s="58"/>
      <c r="B448" s="57" t="s">
        <v>79</v>
      </c>
      <c r="C448" s="109"/>
      <c r="D448" s="111"/>
      <c r="E448" s="25"/>
      <c r="F448" s="163"/>
      <c r="G448" s="326" t="e">
        <f>Tracking_SI5[[#This Row],[Còn lại so với ĐH]]/Tracking_SI5[[#This Row],[Số  lượng trên ĐH]]</f>
        <v>#DIV/0!</v>
      </c>
      <c r="H448" s="163"/>
      <c r="I448" s="606"/>
      <c r="J448" s="163"/>
      <c r="K448" s="138"/>
      <c r="L448" s="24"/>
    </row>
    <row r="449" spans="1:12" ht="20.25" hidden="1" customHeight="1">
      <c r="A449" s="57"/>
      <c r="B449" s="57" t="s">
        <v>79</v>
      </c>
      <c r="C449" s="109"/>
      <c r="D449" s="116"/>
      <c r="E449" s="30"/>
      <c r="F449" s="166"/>
      <c r="G449" s="323" t="e">
        <f>Tracking_SI5[[#This Row],[Còn lại so với ĐH]]/Tracking_SI5[[#This Row],[Số  lượng trên ĐH]]</f>
        <v>#DIV/0!</v>
      </c>
      <c r="H449" s="166"/>
      <c r="I449" s="606"/>
      <c r="J449" s="344"/>
      <c r="K449" s="138"/>
      <c r="L449" s="32"/>
    </row>
    <row r="450" spans="1:12" ht="20.25" hidden="1" customHeight="1">
      <c r="A450" s="57"/>
      <c r="B450" s="57" t="s">
        <v>79</v>
      </c>
      <c r="C450" s="152"/>
      <c r="D450" s="154"/>
      <c r="E450" s="155"/>
      <c r="F450" s="621"/>
      <c r="G450" s="326" t="e">
        <f>Tracking_SI5[[#This Row],[Còn lại so với ĐH]]/Tracking_SI5[[#This Row],[Số  lượng trên ĐH]]</f>
        <v>#DIV/0!</v>
      </c>
      <c r="H450" s="616"/>
      <c r="I450" s="629"/>
      <c r="J450" s="618"/>
      <c r="K450" s="313"/>
      <c r="L450"/>
    </row>
    <row r="451" spans="1:12" ht="20.25" hidden="1" customHeight="1">
      <c r="A451" s="57"/>
      <c r="B451" s="57" t="s">
        <v>79</v>
      </c>
      <c r="C451" s="109"/>
      <c r="D451" s="108"/>
      <c r="E451" s="27"/>
      <c r="F451" s="164"/>
      <c r="G451" s="326" t="e">
        <f>Tracking_SI5[[#This Row],[Còn lại so với ĐH]]/Tracking_SI5[[#This Row],[Số  lượng trên ĐH]]</f>
        <v>#DIV/0!</v>
      </c>
      <c r="H451" s="164"/>
      <c r="I451" s="606"/>
      <c r="J451" s="344"/>
      <c r="K451" s="133"/>
      <c r="L451" s="32"/>
    </row>
    <row r="452" spans="1:12" ht="20.25" hidden="1" customHeight="1">
      <c r="A452" s="57"/>
      <c r="B452" s="57" t="s">
        <v>79</v>
      </c>
      <c r="C452" s="109"/>
      <c r="D452" s="108"/>
      <c r="E452" s="27"/>
      <c r="F452" s="164"/>
      <c r="G452" s="326" t="e">
        <f>Tracking_SI5[[#This Row],[Còn lại so với ĐH]]/Tracking_SI5[[#This Row],[Số  lượng trên ĐH]]</f>
        <v>#DIV/0!</v>
      </c>
      <c r="H452" s="164"/>
      <c r="I452" s="606"/>
      <c r="J452" s="344"/>
      <c r="K452" s="133"/>
      <c r="L452" s="32"/>
    </row>
    <row r="453" spans="1:12" ht="20.25" hidden="1" customHeight="1">
      <c r="A453" s="57"/>
      <c r="B453" s="57" t="s">
        <v>79</v>
      </c>
      <c r="C453" s="109"/>
      <c r="D453" s="108"/>
      <c r="E453" s="27"/>
      <c r="F453" s="166"/>
      <c r="G453" s="326" t="e">
        <f>Tracking_SI5[[#This Row],[Còn lại so với ĐH]]/Tracking_SI5[[#This Row],[Số  lượng trên ĐH]]</f>
        <v>#DIV/0!</v>
      </c>
      <c r="H453" s="164"/>
      <c r="I453" s="606"/>
      <c r="J453" s="344"/>
      <c r="K453" s="133"/>
      <c r="L453" s="32"/>
    </row>
    <row r="454" spans="1:12" ht="20.25" hidden="1" customHeight="1">
      <c r="A454" s="57"/>
      <c r="B454" s="57" t="s">
        <v>79</v>
      </c>
      <c r="C454" s="109"/>
      <c r="D454" s="108"/>
      <c r="E454" s="27"/>
      <c r="F454" s="166"/>
      <c r="G454" s="326" t="e">
        <f>Tracking_SI5[[#This Row],[Còn lại so với ĐH]]/Tracking_SI5[[#This Row],[Số  lượng trên ĐH]]</f>
        <v>#DIV/0!</v>
      </c>
      <c r="H454" s="164"/>
      <c r="I454" s="606"/>
      <c r="J454" s="344"/>
      <c r="K454" s="133"/>
      <c r="L454" s="32"/>
    </row>
    <row r="455" spans="1:12" ht="20.25" hidden="1" customHeight="1">
      <c r="A455" s="57"/>
      <c r="B455" s="57" t="s">
        <v>79</v>
      </c>
      <c r="C455" s="152"/>
      <c r="D455" s="154"/>
      <c r="E455" s="155"/>
      <c r="F455" s="616"/>
      <c r="G455" s="326" t="e">
        <f>Tracking_SI5[[#This Row],[Còn lại so với ĐH]]/Tracking_SI5[[#This Row],[Số  lượng trên ĐH]]</f>
        <v>#DIV/0!</v>
      </c>
      <c r="H455" s="629"/>
      <c r="I455" s="630"/>
      <c r="J455" s="631"/>
      <c r="K455" s="357"/>
      <c r="L455"/>
    </row>
    <row r="456" spans="1:12" ht="20.25" customHeight="1">
      <c r="A456" s="58" t="s">
        <v>106</v>
      </c>
      <c r="B456" s="81"/>
      <c r="C456" s="88" t="s">
        <v>81</v>
      </c>
      <c r="D456" s="119"/>
      <c r="E456" s="83"/>
      <c r="F456" s="84"/>
      <c r="G456" s="323" t="e">
        <f>Tracking_SI5[[#This Row],[Còn lại so với ĐH]]/Tracking_SI5[[#This Row],[Số  lượng trên ĐH]]</f>
        <v>#DIV/0!</v>
      </c>
      <c r="H456" s="84"/>
      <c r="I456" s="206"/>
      <c r="J456" s="85"/>
      <c r="K456" s="141"/>
      <c r="L456" s="85"/>
    </row>
    <row r="457" spans="1:12" ht="20.25" hidden="1" customHeight="1">
      <c r="A457" s="58"/>
      <c r="B457" s="112"/>
      <c r="C457" s="46"/>
      <c r="D457" s="111"/>
      <c r="E457" s="25"/>
      <c r="F457" s="163"/>
      <c r="G457" s="326" t="e">
        <f>Tracking_SI5[[#This Row],[Còn lại so với ĐH]]/Tracking_SI5[[#This Row],[Số  lượng trên ĐH]]</f>
        <v>#DIV/0!</v>
      </c>
      <c r="H457" s="163"/>
      <c r="I457" s="607"/>
      <c r="J457" s="163"/>
      <c r="K457" s="127"/>
      <c r="L457" s="24"/>
    </row>
    <row r="458" spans="1:12" ht="20.25" hidden="1" customHeight="1">
      <c r="A458" s="57"/>
      <c r="B458" s="112"/>
      <c r="C458" s="46"/>
      <c r="D458" s="108"/>
      <c r="E458" s="30"/>
      <c r="F458" s="166"/>
      <c r="G458" s="326" t="e">
        <f>Tracking_SI5[[#This Row],[Còn lại so với ĐH]]/Tracking_SI5[[#This Row],[Số  lượng trên ĐH]]</f>
        <v>#DIV/0!</v>
      </c>
      <c r="H458" s="166"/>
      <c r="I458" s="606"/>
      <c r="J458" s="344"/>
      <c r="K458" s="133"/>
      <c r="L458" s="32"/>
    </row>
    <row r="459" spans="1:12" hidden="1">
      <c r="A459" s="57"/>
      <c r="B459" s="112"/>
      <c r="C459" s="46"/>
      <c r="D459" s="108"/>
      <c r="E459" s="30"/>
      <c r="F459" s="166"/>
      <c r="G459" s="326" t="e">
        <f>Tracking_SI5[[#This Row],[Còn lại so với ĐH]]/Tracking_SI5[[#This Row],[Số  lượng trên ĐH]]</f>
        <v>#DIV/0!</v>
      </c>
      <c r="H459" s="166"/>
      <c r="I459" s="606"/>
      <c r="J459" s="344"/>
      <c r="K459" s="133"/>
      <c r="L459" s="32"/>
    </row>
    <row r="460" spans="1:12" ht="20.25" hidden="1" customHeight="1">
      <c r="A460" s="57"/>
      <c r="B460" s="112"/>
      <c r="C460" s="46"/>
      <c r="D460" s="108"/>
      <c r="E460" s="30"/>
      <c r="F460" s="166"/>
      <c r="G460" s="323" t="e">
        <f>Tracking_SI5[[#This Row],[Còn lại so với ĐH]]/Tracking_SI5[[#This Row],[Số  lượng trên ĐH]]</f>
        <v>#DIV/0!</v>
      </c>
      <c r="H460" s="166"/>
      <c r="I460" s="606"/>
      <c r="J460" s="344"/>
      <c r="K460" s="133"/>
      <c r="L460" s="32"/>
    </row>
    <row r="461" spans="1:12" ht="18.75" customHeight="1">
      <c r="A461" s="58" t="s">
        <v>106</v>
      </c>
      <c r="B461" s="81"/>
      <c r="C461" s="88" t="s">
        <v>82</v>
      </c>
      <c r="D461" s="119"/>
      <c r="E461" s="83"/>
      <c r="F461" s="84"/>
      <c r="G461" s="323" t="e">
        <f>Tracking_SI5[[#This Row],[Còn lại so với ĐH]]/Tracking_SI5[[#This Row],[Số  lượng trên ĐH]]</f>
        <v>#DIV/0!</v>
      </c>
      <c r="H461" s="84"/>
      <c r="I461" s="208"/>
      <c r="J461" s="85"/>
      <c r="K461" s="141"/>
      <c r="L461" s="85"/>
    </row>
    <row r="462" spans="1:12" ht="19.5" hidden="1" customHeight="1">
      <c r="A462" s="58"/>
      <c r="B462" s="112"/>
      <c r="C462" s="46"/>
      <c r="D462" s="111"/>
      <c r="E462" s="24"/>
      <c r="F462" s="163"/>
      <c r="G462" s="326" t="e">
        <f>Tracking_SI5[[#This Row],[Còn lại so với ĐH]]/Tracking_SI5[[#This Row],[Số  lượng trên ĐH]]</f>
        <v>#DIV/0!</v>
      </c>
      <c r="H462" s="163"/>
      <c r="I462" s="607"/>
      <c r="J462" s="163"/>
      <c r="K462" s="127"/>
      <c r="L462" s="24"/>
    </row>
    <row r="463" spans="1:12" ht="19.5" hidden="1" customHeight="1">
      <c r="A463" s="57"/>
      <c r="B463" s="112"/>
      <c r="C463" s="46"/>
      <c r="D463" s="108"/>
      <c r="E463" s="30"/>
      <c r="F463" s="166"/>
      <c r="G463" s="326" t="e">
        <f>Tracking_SI5[[#This Row],[Còn lại so với ĐH]]/Tracking_SI5[[#This Row],[Số  lượng trên ĐH]]</f>
        <v>#DIV/0!</v>
      </c>
      <c r="H463" s="166"/>
      <c r="I463" s="606"/>
      <c r="J463" s="344"/>
      <c r="K463" s="133"/>
      <c r="L463" s="32"/>
    </row>
    <row r="464" spans="1:12" ht="19.5" hidden="1" customHeight="1">
      <c r="A464" s="57"/>
      <c r="B464" s="112"/>
      <c r="C464" s="46"/>
      <c r="D464" s="108"/>
      <c r="E464" s="30"/>
      <c r="F464" s="166"/>
      <c r="G464" s="326" t="e">
        <f>Tracking_SI5[[#This Row],[Còn lại so với ĐH]]/Tracking_SI5[[#This Row],[Số  lượng trên ĐH]]</f>
        <v>#DIV/0!</v>
      </c>
      <c r="H464" s="166"/>
      <c r="I464" s="606"/>
      <c r="J464" s="344"/>
      <c r="K464" s="133"/>
      <c r="L464" s="32"/>
    </row>
    <row r="465" spans="1:12" ht="20.25" hidden="1" customHeight="1">
      <c r="A465" s="57"/>
      <c r="B465" s="112"/>
      <c r="C465" s="46"/>
      <c r="D465" s="108"/>
      <c r="E465" s="30"/>
      <c r="F465" s="166"/>
      <c r="G465" s="326" t="e">
        <f>Tracking_SI5[[#This Row],[Còn lại so với ĐH]]/Tracking_SI5[[#This Row],[Số  lượng trên ĐH]]</f>
        <v>#DIV/0!</v>
      </c>
      <c r="H465" s="166"/>
      <c r="I465" s="606"/>
      <c r="J465" s="344"/>
      <c r="K465" s="133"/>
      <c r="L465" s="32"/>
    </row>
    <row r="466" spans="1:12" ht="20.25" hidden="1" customHeight="1">
      <c r="A466" s="57"/>
      <c r="B466" s="112"/>
      <c r="C466" s="46"/>
      <c r="D466" s="108"/>
      <c r="E466" s="30"/>
      <c r="F466" s="166"/>
      <c r="G466" s="323" t="e">
        <f>Tracking_SI5[[#This Row],[Còn lại so với ĐH]]/Tracking_SI5[[#This Row],[Số  lượng trên ĐH]]</f>
        <v>#DIV/0!</v>
      </c>
      <c r="H466" s="166"/>
      <c r="I466" s="606"/>
      <c r="J466" s="344"/>
      <c r="K466" s="133"/>
      <c r="L466" s="32"/>
    </row>
    <row r="467" spans="1:12" ht="20.25" hidden="1" customHeight="1">
      <c r="A467" s="57"/>
      <c r="B467" s="112"/>
      <c r="C467" s="46"/>
      <c r="D467" s="154"/>
      <c r="E467" s="155"/>
      <c r="F467" s="168"/>
      <c r="G467" s="326" t="e">
        <f>Tracking_SI5[[#This Row],[Còn lại so với ĐH]]/Tracking_SI5[[#This Row],[Số  lượng trên ĐH]]</f>
        <v>#DIV/0!</v>
      </c>
      <c r="H467" s="168"/>
      <c r="I467" s="615"/>
      <c r="J467" s="168"/>
      <c r="K467" s="130"/>
      <c r="L467" s="24"/>
    </row>
    <row r="468" spans="1:12" ht="20.25" hidden="1" customHeight="1">
      <c r="A468" s="57"/>
      <c r="B468" s="112"/>
      <c r="C468" s="46"/>
      <c r="D468" s="108"/>
      <c r="E468" s="30"/>
      <c r="F468" s="166"/>
      <c r="G468" s="323" t="e">
        <f>Tracking_SI5[[#This Row],[Còn lại so với ĐH]]/Tracking_SI5[[#This Row],[Số  lượng trên ĐH]]</f>
        <v>#DIV/0!</v>
      </c>
      <c r="H468" s="166"/>
      <c r="I468" s="606"/>
      <c r="J468" s="344"/>
      <c r="K468" s="133"/>
      <c r="L468" s="32"/>
    </row>
    <row r="469" spans="1:12" ht="20.25" hidden="1" customHeight="1">
      <c r="A469" s="57"/>
      <c r="B469" s="112"/>
      <c r="C469" s="46"/>
      <c r="D469" s="108"/>
      <c r="E469" s="30"/>
      <c r="F469" s="166"/>
      <c r="G469" s="323" t="e">
        <f>Tracking_SI5[[#This Row],[Còn lại so với ĐH]]/Tracking_SI5[[#This Row],[Số  lượng trên ĐH]]</f>
        <v>#DIV/0!</v>
      </c>
      <c r="H469" s="166"/>
      <c r="I469" s="606"/>
      <c r="J469" s="344"/>
      <c r="K469" s="133"/>
      <c r="L469" s="32"/>
    </row>
    <row r="470" spans="1:12" ht="20.25" customHeight="1">
      <c r="A470" s="58" t="s">
        <v>106</v>
      </c>
      <c r="B470" s="81" t="s">
        <v>195</v>
      </c>
      <c r="C470" s="88" t="s">
        <v>194</v>
      </c>
      <c r="D470" s="119"/>
      <c r="E470" s="83"/>
      <c r="F470" s="84"/>
      <c r="G470" s="323" t="e">
        <f>Tracking_SI5[[#This Row],[Còn lại so với ĐH]]/Tracking_SI5[[#This Row],[Số  lượng trên ĐH]]</f>
        <v>#DIV/0!</v>
      </c>
      <c r="H470" s="84"/>
      <c r="I470" s="207"/>
      <c r="J470" s="85"/>
      <c r="K470" s="141"/>
      <c r="L470" s="85"/>
    </row>
    <row r="471" spans="1:12" ht="20.25" hidden="1" customHeight="1">
      <c r="A471" s="58"/>
      <c r="B471" s="57" t="s">
        <v>195</v>
      </c>
      <c r="C471" s="46"/>
      <c r="D471" s="111"/>
      <c r="E471" s="25"/>
      <c r="F471" s="163"/>
      <c r="G471" s="326" t="e">
        <f>Tracking_SI5[[#This Row],[Còn lại so với ĐH]]/Tracking_SI5[[#This Row],[Số  lượng trên ĐH]]</f>
        <v>#DIV/0!</v>
      </c>
      <c r="H471" s="163"/>
      <c r="I471" s="606"/>
      <c r="J471" s="163"/>
      <c r="K471" s="127"/>
      <c r="L471" s="24"/>
    </row>
    <row r="472" spans="1:12" ht="20.25" hidden="1" customHeight="1">
      <c r="A472" s="57"/>
      <c r="B472" s="57" t="s">
        <v>195</v>
      </c>
      <c r="C472" s="46"/>
      <c r="D472" s="108"/>
      <c r="E472" s="30"/>
      <c r="F472" s="166"/>
      <c r="G472" s="326" t="e">
        <f>Tracking_SI5[[#This Row],[Còn lại so với ĐH]]/Tracking_SI5[[#This Row],[Số  lượng trên ĐH]]</f>
        <v>#DIV/0!</v>
      </c>
      <c r="H472" s="166"/>
      <c r="I472" s="606"/>
      <c r="J472" s="344"/>
      <c r="K472" s="133"/>
      <c r="L472" s="32"/>
    </row>
    <row r="473" spans="1:12" ht="20.25" hidden="1" customHeight="1">
      <c r="A473" s="57"/>
      <c r="B473" s="57" t="s">
        <v>195</v>
      </c>
      <c r="C473" s="46"/>
      <c r="D473" s="108"/>
      <c r="E473" s="30"/>
      <c r="F473" s="169"/>
      <c r="G473" s="326" t="e">
        <f>Tracking_SI5[[#This Row],[Còn lại so với ĐH]]/Tracking_SI5[[#This Row],[Số  lượng trên ĐH]]</f>
        <v>#DIV/0!</v>
      </c>
      <c r="H473" s="166"/>
      <c r="I473" s="606"/>
      <c r="J473" s="344"/>
      <c r="K473" s="133"/>
      <c r="L473" s="32"/>
    </row>
    <row r="474" spans="1:12" ht="20.25" hidden="1" customHeight="1">
      <c r="A474" s="57"/>
      <c r="B474" s="57" t="s">
        <v>195</v>
      </c>
      <c r="C474" s="46"/>
      <c r="D474" s="154"/>
      <c r="E474" s="155"/>
      <c r="F474" s="168"/>
      <c r="G474" s="326" t="e">
        <f>Tracking_SI5[[#This Row],[Còn lại so với ĐH]]/Tracking_SI5[[#This Row],[Số  lượng trên ĐH]]</f>
        <v>#DIV/0!</v>
      </c>
      <c r="H474" s="168"/>
      <c r="I474" s="606"/>
      <c r="J474" s="168"/>
      <c r="K474" s="182"/>
      <c r="L474" s="24"/>
    </row>
    <row r="475" spans="1:12" ht="20.25" hidden="1" customHeight="1">
      <c r="A475" s="57"/>
      <c r="B475" s="57" t="s">
        <v>195</v>
      </c>
      <c r="C475" s="46"/>
      <c r="D475" s="108"/>
      <c r="E475" s="30"/>
      <c r="F475" s="166"/>
      <c r="G475" s="326" t="e">
        <f>Tracking_SI5[[#This Row],[Còn lại so với ĐH]]/Tracking_SI5[[#This Row],[Số  lượng trên ĐH]]</f>
        <v>#DIV/0!</v>
      </c>
      <c r="H475" s="166"/>
      <c r="I475" s="619"/>
      <c r="J475" s="344"/>
      <c r="K475" s="133"/>
      <c r="L475" s="32"/>
    </row>
    <row r="476" spans="1:12" ht="20.25" hidden="1" customHeight="1">
      <c r="A476" s="57"/>
      <c r="B476" s="57" t="s">
        <v>195</v>
      </c>
      <c r="C476" s="46"/>
      <c r="D476" s="108"/>
      <c r="E476" s="30"/>
      <c r="F476" s="166"/>
      <c r="G476" s="326" t="e">
        <f>Tracking_SI5[[#This Row],[Còn lại so với ĐH]]/Tracking_SI5[[#This Row],[Số  lượng trên ĐH]]</f>
        <v>#DIV/0!</v>
      </c>
      <c r="H476" s="166"/>
      <c r="I476" s="606"/>
      <c r="J476" s="344"/>
      <c r="K476" s="133"/>
      <c r="L476" s="32"/>
    </row>
    <row r="477" spans="1:12" ht="20.25" hidden="1" customHeight="1">
      <c r="A477" s="58"/>
      <c r="B477" s="57" t="s">
        <v>195</v>
      </c>
      <c r="C477" s="46"/>
      <c r="D477" s="113"/>
      <c r="E477" s="28"/>
      <c r="F477" s="165"/>
      <c r="G477" s="326" t="e">
        <f>Tracking_SI5[[#This Row],[Còn lại so với ĐH]]/Tracking_SI5[[#This Row],[Số  lượng trên ĐH]]</f>
        <v>#DIV/0!</v>
      </c>
      <c r="H477" s="165"/>
      <c r="I477" s="606"/>
      <c r="J477" s="168"/>
      <c r="K477" s="127"/>
      <c r="L477" s="24"/>
    </row>
    <row r="478" spans="1:12" ht="20.25" hidden="1" customHeight="1">
      <c r="A478" s="57"/>
      <c r="B478" s="57" t="s">
        <v>195</v>
      </c>
      <c r="C478" s="46"/>
      <c r="D478" s="108"/>
      <c r="E478" s="30"/>
      <c r="F478" s="166"/>
      <c r="G478" s="326" t="e">
        <f>Tracking_SI5[[#This Row],[Còn lại so với ĐH]]/Tracking_SI5[[#This Row],[Số  lượng trên ĐH]]</f>
        <v>#DIV/0!</v>
      </c>
      <c r="H478" s="166"/>
      <c r="I478" s="619"/>
      <c r="J478" s="344"/>
      <c r="K478" s="133"/>
      <c r="L478" s="32"/>
    </row>
    <row r="479" spans="1:12" ht="20.25" hidden="1" customHeight="1">
      <c r="A479" s="57"/>
      <c r="B479" s="57" t="s">
        <v>195</v>
      </c>
      <c r="C479" s="46"/>
      <c r="D479" s="108"/>
      <c r="E479" s="30"/>
      <c r="F479" s="166"/>
      <c r="G479" s="326" t="e">
        <f>Tracking_SI5[[#This Row],[Còn lại so với ĐH]]/Tracking_SI5[[#This Row],[Số  lượng trên ĐH]]</f>
        <v>#DIV/0!</v>
      </c>
      <c r="H479" s="166"/>
      <c r="I479" s="354"/>
      <c r="J479" s="344"/>
      <c r="K479" s="133"/>
      <c r="L479" s="32"/>
    </row>
    <row r="480" spans="1:12" ht="20.25" customHeight="1">
      <c r="A480" s="58" t="s">
        <v>106</v>
      </c>
      <c r="B480" s="81" t="s">
        <v>172</v>
      </c>
      <c r="C480" s="88" t="s">
        <v>175</v>
      </c>
      <c r="D480" s="119"/>
      <c r="E480" s="83"/>
      <c r="F480" s="84"/>
      <c r="G480" s="323" t="e">
        <f>Tracking_SI5[[#This Row],[Còn lại so với ĐH]]/Tracking_SI5[[#This Row],[Số  lượng trên ĐH]]</f>
        <v>#DIV/0!</v>
      </c>
      <c r="H480" s="84"/>
      <c r="I480" s="206"/>
      <c r="J480" s="85"/>
      <c r="K480" s="141"/>
      <c r="L480" s="85"/>
    </row>
    <row r="481" spans="1:12" ht="20.25" hidden="1" customHeight="1">
      <c r="A481" s="58"/>
      <c r="B481" s="57"/>
      <c r="C481" s="46"/>
      <c r="D481" s="183"/>
      <c r="E481" s="194"/>
      <c r="F481" s="172"/>
      <c r="G481" s="326" t="e">
        <f>Tracking_SI5[[#This Row],[Còn lại so với ĐH]]/Tracking_SI5[[#This Row],[Số  lượng trên ĐH]]</f>
        <v>#DIV/0!</v>
      </c>
      <c r="H481" s="172"/>
      <c r="I481" s="606"/>
      <c r="J481" s="172"/>
      <c r="K481" s="195"/>
      <c r="L481" s="24"/>
    </row>
    <row r="482" spans="1:12" ht="20.25" hidden="1" customHeight="1">
      <c r="A482" s="57"/>
      <c r="B482" s="57"/>
      <c r="C482" s="46"/>
      <c r="D482" s="108"/>
      <c r="E482" s="30"/>
      <c r="F482" s="166"/>
      <c r="G482" s="326" t="e">
        <f>Tracking_SI5[[#This Row],[Còn lại so với ĐH]]/Tracking_SI5[[#This Row],[Số  lượng trên ĐH]]</f>
        <v>#DIV/0!</v>
      </c>
      <c r="H482" s="166"/>
      <c r="I482" s="606"/>
      <c r="J482" s="344"/>
      <c r="K482" s="138"/>
      <c r="L482" s="32"/>
    </row>
    <row r="483" spans="1:12" ht="20.25" hidden="1" customHeight="1">
      <c r="A483" s="57"/>
      <c r="B483" s="57"/>
      <c r="C483" s="46"/>
      <c r="D483" s="108"/>
      <c r="E483" s="30"/>
      <c r="F483" s="166"/>
      <c r="G483" s="326" t="e">
        <f>Tracking_SI5[[#This Row],[Còn lại so với ĐH]]/Tracking_SI5[[#This Row],[Số  lượng trên ĐH]]</f>
        <v>#DIV/0!</v>
      </c>
      <c r="H483" s="166"/>
      <c r="I483" s="619"/>
      <c r="J483" s="344"/>
      <c r="K483" s="138"/>
      <c r="L483" s="32"/>
    </row>
    <row r="484" spans="1:12" ht="20.25" hidden="1" customHeight="1">
      <c r="A484" s="58"/>
      <c r="B484" s="57"/>
      <c r="C484" s="46"/>
      <c r="D484" s="154"/>
      <c r="E484" s="155"/>
      <c r="F484" s="168"/>
      <c r="G484" s="326" t="e">
        <f>Tracking_SI5[[#This Row],[Còn lại so với ĐH]]/Tracking_SI5[[#This Row],[Số  lượng trên ĐH]]</f>
        <v>#DIV/0!</v>
      </c>
      <c r="H484" s="168"/>
      <c r="I484" s="621"/>
      <c r="J484" s="315"/>
      <c r="K484" s="182"/>
      <c r="L484" s="24"/>
    </row>
    <row r="485" spans="1:12" ht="20.25" hidden="1" customHeight="1">
      <c r="A485" s="57"/>
      <c r="B485" s="57"/>
      <c r="C485" s="46"/>
      <c r="D485" s="108"/>
      <c r="E485" s="30"/>
      <c r="F485" s="166"/>
      <c r="G485" s="326" t="e">
        <f>Tracking_SI5[[#This Row],[Còn lại so với ĐH]]/Tracking_SI5[[#This Row],[Số  lượng trên ĐH]]</f>
        <v>#DIV/0!</v>
      </c>
      <c r="H485" s="166"/>
      <c r="I485" s="606"/>
      <c r="J485" s="344"/>
      <c r="K485" s="133"/>
      <c r="L485" s="32"/>
    </row>
    <row r="486" spans="1:12" ht="20.25" hidden="1" customHeight="1">
      <c r="A486" s="57"/>
      <c r="B486" s="57"/>
      <c r="C486" s="46"/>
      <c r="D486" s="108"/>
      <c r="E486" s="30"/>
      <c r="F486" s="166"/>
      <c r="G486" s="326" t="e">
        <f>Tracking_SI5[[#This Row],[Còn lại so với ĐH]]/Tracking_SI5[[#This Row],[Số  lượng trên ĐH]]</f>
        <v>#DIV/0!</v>
      </c>
      <c r="H486" s="166"/>
      <c r="I486" s="606"/>
      <c r="J486" s="344"/>
      <c r="K486" s="133"/>
      <c r="L486" s="32"/>
    </row>
    <row r="487" spans="1:12" ht="20.25" hidden="1" customHeight="1">
      <c r="A487" s="57"/>
      <c r="B487" s="57"/>
      <c r="C487" s="46"/>
      <c r="D487" s="108"/>
      <c r="E487" s="30"/>
      <c r="F487" s="166"/>
      <c r="G487" s="326" t="e">
        <f>Tracking_SI5[[#This Row],[Còn lại so với ĐH]]/Tracking_SI5[[#This Row],[Số  lượng trên ĐH]]</f>
        <v>#DIV/0!</v>
      </c>
      <c r="H487" s="166"/>
      <c r="I487" s="606"/>
      <c r="J487" s="344"/>
      <c r="K487" s="133"/>
      <c r="L487" s="32"/>
    </row>
    <row r="488" spans="1:12" ht="20.25" customHeight="1">
      <c r="A488" s="58" t="s">
        <v>106</v>
      </c>
      <c r="B488" s="81"/>
      <c r="C488" s="88" t="s">
        <v>138</v>
      </c>
      <c r="D488" s="120"/>
      <c r="E488" s="83"/>
      <c r="F488" s="84"/>
      <c r="G488" s="323" t="e">
        <f>Tracking_SI5[[#This Row],[Còn lại so với ĐH]]/Tracking_SI5[[#This Row],[Số  lượng trên ĐH]]</f>
        <v>#DIV/0!</v>
      </c>
      <c r="H488" s="84"/>
      <c r="I488" s="208"/>
      <c r="J488" s="85"/>
      <c r="K488" s="141"/>
      <c r="L488" s="85"/>
    </row>
    <row r="489" spans="1:12" ht="20.25" hidden="1" customHeight="1">
      <c r="A489" s="58"/>
      <c r="B489" s="57"/>
      <c r="C489" s="46"/>
      <c r="D489" s="111"/>
      <c r="E489" s="25"/>
      <c r="F489" s="163"/>
      <c r="G489" s="326" t="e">
        <f>Tracking_SI5[[#This Row],[Còn lại so với ĐH]]/Tracking_SI5[[#This Row],[Số  lượng trên ĐH]]</f>
        <v>#DIV/0!</v>
      </c>
      <c r="H489" s="163"/>
      <c r="I489" s="354"/>
      <c r="J489" s="163"/>
      <c r="K489" s="127"/>
      <c r="L489" s="24"/>
    </row>
    <row r="490" spans="1:12" ht="20.25" hidden="1" customHeight="1">
      <c r="A490" s="57"/>
      <c r="B490" s="57"/>
      <c r="C490" s="46"/>
      <c r="D490" s="108"/>
      <c r="E490" s="30"/>
      <c r="F490" s="166"/>
      <c r="G490" s="326" t="e">
        <f>Tracking_SI5[[#This Row],[Còn lại so với ĐH]]/Tracking_SI5[[#This Row],[Số  lượng trên ĐH]]</f>
        <v>#DIV/0!</v>
      </c>
      <c r="H490" s="166"/>
      <c r="I490" s="606"/>
      <c r="J490" s="344"/>
      <c r="K490" s="133"/>
      <c r="L490" s="32"/>
    </row>
    <row r="491" spans="1:12" ht="20.25" hidden="1" customHeight="1">
      <c r="A491" s="57"/>
      <c r="B491" s="57"/>
      <c r="C491" s="46"/>
      <c r="D491" s="108"/>
      <c r="E491" s="30"/>
      <c r="F491" s="166"/>
      <c r="G491" s="323" t="e">
        <f>Tracking_SI5[[#This Row],[Còn lại so với ĐH]]/Tracking_SI5[[#This Row],[Số  lượng trên ĐH]]</f>
        <v>#DIV/0!</v>
      </c>
      <c r="H491" s="166"/>
      <c r="I491" s="606"/>
      <c r="J491" s="344"/>
      <c r="K491" s="133"/>
      <c r="L491" s="32"/>
    </row>
    <row r="492" spans="1:12" ht="20.25" hidden="1" customHeight="1">
      <c r="A492" s="57"/>
      <c r="B492" s="57"/>
      <c r="C492" s="46"/>
      <c r="D492" s="108"/>
      <c r="E492" s="30"/>
      <c r="F492" s="166"/>
      <c r="G492" s="323" t="e">
        <f>Tracking_SI5[[#This Row],[Còn lại so với ĐH]]/Tracking_SI5[[#This Row],[Số  lượng trên ĐH]]</f>
        <v>#DIV/0!</v>
      </c>
      <c r="H492" s="166"/>
      <c r="I492" s="606"/>
      <c r="J492" s="344"/>
      <c r="K492" s="133"/>
      <c r="L492" s="32"/>
    </row>
    <row r="493" spans="1:12" ht="20.25" customHeight="1">
      <c r="A493" s="58" t="s">
        <v>106</v>
      </c>
      <c r="B493" s="81" t="s">
        <v>87</v>
      </c>
      <c r="C493" s="88" t="s">
        <v>113</v>
      </c>
      <c r="D493" s="119"/>
      <c r="E493" s="83"/>
      <c r="F493" s="84"/>
      <c r="G493" s="323" t="e">
        <f>Tracking_SI5[[#This Row],[Còn lại so với ĐH]]/Tracking_SI5[[#This Row],[Số  lượng trên ĐH]]</f>
        <v>#DIV/0!</v>
      </c>
      <c r="H493" s="84"/>
      <c r="I493" s="208"/>
      <c r="J493" s="85"/>
      <c r="K493" s="141"/>
      <c r="L493" s="85"/>
    </row>
    <row r="494" spans="1:12" ht="20.25" hidden="1" customHeight="1">
      <c r="A494" s="58"/>
      <c r="B494" s="57" t="s">
        <v>87</v>
      </c>
      <c r="C494" s="109"/>
      <c r="D494" s="111"/>
      <c r="E494" s="25"/>
      <c r="F494" s="163"/>
      <c r="G494" s="326" t="e">
        <f>Tracking_SI5[[#This Row],[Còn lại so với ĐH]]/Tracking_SI5[[#This Row],[Số  lượng trên ĐH]]</f>
        <v>#DIV/0!</v>
      </c>
      <c r="H494" s="164"/>
      <c r="I494" s="354"/>
      <c r="J494" s="163"/>
      <c r="K494" s="130"/>
      <c r="L494" s="24"/>
    </row>
    <row r="495" spans="1:12" ht="20.25" hidden="1" customHeight="1">
      <c r="A495" s="57"/>
      <c r="B495" s="57" t="s">
        <v>87</v>
      </c>
      <c r="C495" s="109"/>
      <c r="D495" s="108"/>
      <c r="E495" s="30"/>
      <c r="F495" s="166"/>
      <c r="G495" s="326" t="e">
        <f>Tracking_SI5[[#This Row],[Còn lại so với ĐH]]/Tracking_SI5[[#This Row],[Số  lượng trên ĐH]]</f>
        <v>#DIV/0!</v>
      </c>
      <c r="H495" s="164"/>
      <c r="I495" s="606"/>
      <c r="J495" s="344"/>
      <c r="K495" s="138"/>
      <c r="L495" s="32"/>
    </row>
    <row r="496" spans="1:12" ht="20.25" hidden="1" customHeight="1">
      <c r="A496" s="57"/>
      <c r="B496" s="57" t="s">
        <v>87</v>
      </c>
      <c r="C496" s="109"/>
      <c r="D496" s="108"/>
      <c r="E496" s="30"/>
      <c r="F496" s="166"/>
      <c r="G496" s="326" t="e">
        <f>Tracking_SI5[[#This Row],[Còn lại so với ĐH]]/Tracking_SI5[[#This Row],[Số  lượng trên ĐH]]</f>
        <v>#DIV/0!</v>
      </c>
      <c r="H496" s="164"/>
      <c r="I496" s="606"/>
      <c r="J496" s="344"/>
      <c r="K496" s="138"/>
      <c r="L496" s="32"/>
    </row>
    <row r="497" spans="1:12" ht="20.25" hidden="1" customHeight="1">
      <c r="A497" s="58"/>
      <c r="B497" s="57" t="s">
        <v>87</v>
      </c>
      <c r="C497" s="109"/>
      <c r="D497" s="154"/>
      <c r="E497" s="309"/>
      <c r="F497" s="588"/>
      <c r="G497" s="326" t="e">
        <f>Tracking_SI5[[#This Row],[Còn lại so với ĐH]]/Tracking_SI5[[#This Row],[Số  lượng trên ĐH]]</f>
        <v>#DIV/0!</v>
      </c>
      <c r="H497" s="621"/>
      <c r="I497" s="606"/>
      <c r="J497" s="622"/>
      <c r="K497" s="130"/>
      <c r="L497" s="24"/>
    </row>
    <row r="498" spans="1:12" ht="20.25" hidden="1" customHeight="1">
      <c r="A498" s="57"/>
      <c r="B498" s="57" t="s">
        <v>87</v>
      </c>
      <c r="C498" s="109"/>
      <c r="D498" s="108"/>
      <c r="E498" s="30"/>
      <c r="F498" s="166"/>
      <c r="G498" s="326" t="e">
        <f>Tracking_SI5[[#This Row],[Còn lại so với ĐH]]/Tracking_SI5[[#This Row],[Số  lượng trên ĐH]]</f>
        <v>#DIV/0!</v>
      </c>
      <c r="H498" s="164"/>
      <c r="I498" s="619"/>
      <c r="J498" s="344"/>
      <c r="K498" s="133"/>
      <c r="L498" s="32"/>
    </row>
    <row r="499" spans="1:12" ht="20.25" hidden="1" customHeight="1">
      <c r="A499" s="57"/>
      <c r="B499" s="57" t="s">
        <v>87</v>
      </c>
      <c r="C499" s="109"/>
      <c r="D499" s="108"/>
      <c r="E499" s="30"/>
      <c r="F499" s="166"/>
      <c r="G499" s="326" t="e">
        <f>Tracking_SI5[[#This Row],[Còn lại so với ĐH]]/Tracking_SI5[[#This Row],[Số  lượng trên ĐH]]</f>
        <v>#DIV/0!</v>
      </c>
      <c r="H499" s="164"/>
      <c r="I499" s="354"/>
      <c r="J499" s="344"/>
      <c r="K499" s="133"/>
      <c r="L499" s="32"/>
    </row>
    <row r="500" spans="1:12" ht="20.25" hidden="1" customHeight="1">
      <c r="A500" s="57"/>
      <c r="B500" s="57" t="s">
        <v>87</v>
      </c>
      <c r="C500" s="109"/>
      <c r="D500" s="108"/>
      <c r="E500" s="30"/>
      <c r="F500" s="166"/>
      <c r="G500" s="326" t="e">
        <f>Tracking_SI5[[#This Row],[Còn lại so với ĐH]]/Tracking_SI5[[#This Row],[Số  lượng trên ĐH]]</f>
        <v>#DIV/0!</v>
      </c>
      <c r="H500" s="164"/>
      <c r="I500" s="606"/>
      <c r="J500" s="344"/>
      <c r="K500" s="133"/>
      <c r="L500" s="32"/>
    </row>
    <row r="501" spans="1:12" ht="20.25" hidden="1" customHeight="1">
      <c r="A501" s="57"/>
      <c r="B501" s="57" t="s">
        <v>87</v>
      </c>
      <c r="C501" s="109"/>
      <c r="D501" s="116"/>
      <c r="E501" s="30"/>
      <c r="F501" s="169"/>
      <c r="G501" s="326" t="e">
        <f>Tracking_SI5[[#This Row],[Còn lại so với ĐH]]/Tracking_SI5[[#This Row],[Số  lượng trên ĐH]]</f>
        <v>#DIV/0!</v>
      </c>
      <c r="H501" s="169"/>
      <c r="I501" s="606"/>
      <c r="J501" s="618"/>
      <c r="K501" s="139"/>
      <c r="L501" s="37"/>
    </row>
    <row r="502" spans="1:12" ht="20.25" hidden="1" customHeight="1">
      <c r="A502" s="57"/>
      <c r="B502" s="57" t="s">
        <v>87</v>
      </c>
      <c r="C502" s="109"/>
      <c r="D502" s="116"/>
      <c r="E502" s="30"/>
      <c r="F502" s="166"/>
      <c r="G502" s="326" t="e">
        <f>Tracking_SI5[[#This Row],[Còn lại so với ĐH]]/Tracking_SI5[[#This Row],[Số  lượng trên ĐH]]</f>
        <v>#DIV/0!</v>
      </c>
      <c r="H502" s="166"/>
      <c r="I502" s="606"/>
      <c r="J502" s="344"/>
      <c r="K502" s="133"/>
      <c r="L502" s="32"/>
    </row>
    <row r="503" spans="1:12" ht="20.25" customHeight="1">
      <c r="A503" s="58" t="s">
        <v>106</v>
      </c>
      <c r="B503" s="81"/>
      <c r="C503" s="82" t="s">
        <v>88</v>
      </c>
      <c r="D503" s="118"/>
      <c r="E503" s="83"/>
      <c r="F503" s="84"/>
      <c r="G503" s="323" t="e">
        <f>Tracking_SI5[[#This Row],[Còn lại so với ĐH]]/Tracking_SI5[[#This Row],[Số  lượng trên ĐH]]</f>
        <v>#DIV/0!</v>
      </c>
      <c r="H503" s="84"/>
      <c r="I503" s="208"/>
      <c r="J503" s="85"/>
      <c r="K503" s="141"/>
      <c r="L503" s="85"/>
    </row>
    <row r="504" spans="1:12" ht="20.25" hidden="1" customHeight="1">
      <c r="A504" s="58"/>
      <c r="C504" s="48"/>
      <c r="D504" s="111"/>
      <c r="E504" s="25"/>
      <c r="F504" s="173"/>
      <c r="G504" s="326" t="e">
        <f>Tracking_SI5[[#This Row],[Còn lại so với ĐH]]/Tracking_SI5[[#This Row],[Số  lượng trên ĐH]]</f>
        <v>#DIV/0!</v>
      </c>
      <c r="H504" s="173"/>
      <c r="I504" s="354"/>
      <c r="J504" s="163"/>
      <c r="K504" s="127"/>
      <c r="L504" s="24"/>
    </row>
    <row r="505" spans="1:12" ht="20.25" hidden="1" customHeight="1">
      <c r="A505" s="58"/>
      <c r="C505" s="48"/>
      <c r="D505" s="116"/>
      <c r="E505" s="30"/>
      <c r="F505" s="174"/>
      <c r="G505" s="326" t="e">
        <f>Tracking_SI5[[#This Row],[Còn lại so với ĐH]]/Tracking_SI5[[#This Row],[Số  lượng trên ĐH]]</f>
        <v>#DIV/0!</v>
      </c>
      <c r="H505" s="174"/>
      <c r="I505" s="606"/>
      <c r="J505" s="344"/>
      <c r="K505" s="133"/>
      <c r="L505" s="32"/>
    </row>
    <row r="506" spans="1:12" ht="20.25" hidden="1" customHeight="1">
      <c r="A506" s="58"/>
      <c r="C506" s="48"/>
      <c r="D506" s="116"/>
      <c r="E506" s="30"/>
      <c r="F506" s="174"/>
      <c r="G506" s="323" t="e">
        <f>Tracking_SI5[[#This Row],[Còn lại so với ĐH]]/Tracking_SI5[[#This Row],[Số  lượng trên ĐH]]</f>
        <v>#DIV/0!</v>
      </c>
      <c r="H506" s="174"/>
      <c r="I506" s="606"/>
      <c r="J506" s="344"/>
      <c r="K506" s="133"/>
      <c r="L506" s="32"/>
    </row>
    <row r="507" spans="1:12" ht="20.25" customHeight="1">
      <c r="A507" s="58" t="s">
        <v>106</v>
      </c>
      <c r="B507" s="89"/>
      <c r="C507" s="88" t="s">
        <v>89</v>
      </c>
      <c r="D507" s="118"/>
      <c r="E507" s="83"/>
      <c r="F507" s="84"/>
      <c r="G507" s="323" t="e">
        <f>Tracking_SI5[[#This Row],[Còn lại so với ĐH]]/Tracking_SI5[[#This Row],[Số  lượng trên ĐH]]</f>
        <v>#DIV/0!</v>
      </c>
      <c r="H507" s="84"/>
      <c r="I507" s="206"/>
      <c r="J507" s="85"/>
      <c r="K507" s="141"/>
      <c r="L507" s="85"/>
    </row>
    <row r="508" spans="1:12" ht="20.25" hidden="1" customHeight="1">
      <c r="A508" s="57"/>
      <c r="C508" s="46"/>
      <c r="D508" s="111"/>
      <c r="E508" s="25"/>
      <c r="F508" s="163"/>
      <c r="G508" s="326" t="e">
        <f>Tracking_SI5[[#This Row],[Còn lại so với ĐH]]/Tracking_SI5[[#This Row],[Số  lượng trên ĐH]]</f>
        <v>#DIV/0!</v>
      </c>
      <c r="H508" s="163"/>
      <c r="I508" s="619"/>
      <c r="J508" s="163"/>
      <c r="K508" s="130"/>
      <c r="L508" s="24"/>
    </row>
    <row r="509" spans="1:12" ht="20.25" hidden="1" customHeight="1">
      <c r="A509" s="57"/>
      <c r="C509" s="46"/>
      <c r="D509" s="116"/>
      <c r="E509" s="30"/>
      <c r="F509" s="166"/>
      <c r="G509" s="326" t="e">
        <f>Tracking_SI5[[#This Row],[Còn lại so với ĐH]]/Tracking_SI5[[#This Row],[Số  lượng trên ĐH]]</f>
        <v>#DIV/0!</v>
      </c>
      <c r="H509" s="166"/>
      <c r="I509" s="354"/>
      <c r="J509" s="344"/>
      <c r="K509" s="138"/>
      <c r="L509" s="32"/>
    </row>
    <row r="510" spans="1:12" ht="19.5" hidden="1" customHeight="1">
      <c r="A510" s="57"/>
      <c r="C510" s="46"/>
      <c r="D510" s="116"/>
      <c r="E510" s="30"/>
      <c r="F510" s="166"/>
      <c r="G510" s="326" t="e">
        <f>Tracking_SI5[[#This Row],[Còn lại so với ĐH]]/Tracking_SI5[[#This Row],[Số  lượng trên ĐH]]</f>
        <v>#DIV/0!</v>
      </c>
      <c r="H510" s="166"/>
      <c r="I510" s="606"/>
      <c r="J510" s="344"/>
      <c r="K510" s="138"/>
      <c r="L510" s="32"/>
    </row>
    <row r="511" spans="1:12" ht="19.5" hidden="1" customHeight="1">
      <c r="A511" s="57"/>
      <c r="C511" s="46"/>
      <c r="D511" s="111"/>
      <c r="E511" s="25"/>
      <c r="F511" s="163"/>
      <c r="G511" s="326" t="e">
        <f>Tracking_SI5[[#This Row],[Còn lại so với ĐH]]/Tracking_SI5[[#This Row],[Số  lượng trên ĐH]]</f>
        <v>#DIV/0!</v>
      </c>
      <c r="H511" s="163"/>
      <c r="I511" s="606"/>
      <c r="J511" s="163"/>
      <c r="K511" s="130"/>
      <c r="L511" s="32"/>
    </row>
    <row r="512" spans="1:12" ht="19.5" hidden="1" customHeight="1">
      <c r="A512" s="57"/>
      <c r="C512" s="46"/>
      <c r="D512" s="116"/>
      <c r="E512" s="30"/>
      <c r="F512" s="166"/>
      <c r="G512" s="326" t="e">
        <f>Tracking_SI5[[#This Row],[Còn lại so với ĐH]]/Tracking_SI5[[#This Row],[Số  lượng trên ĐH]]</f>
        <v>#DIV/0!</v>
      </c>
      <c r="H512" s="166"/>
      <c r="I512" s="606"/>
      <c r="J512" s="344"/>
      <c r="K512" s="133"/>
      <c r="L512" s="32"/>
    </row>
    <row r="513" spans="1:12" ht="19.5" hidden="1" customHeight="1">
      <c r="A513" s="57"/>
      <c r="C513" s="46"/>
      <c r="D513" s="116"/>
      <c r="E513" s="30"/>
      <c r="F513" s="166"/>
      <c r="G513" s="326" t="e">
        <f>Tracking_SI5[[#This Row],[Còn lại so với ĐH]]/Tracking_SI5[[#This Row],[Số  lượng trên ĐH]]</f>
        <v>#DIV/0!</v>
      </c>
      <c r="H513" s="166"/>
      <c r="I513" s="619"/>
      <c r="J513" s="344"/>
      <c r="K513" s="133"/>
      <c r="L513" s="32"/>
    </row>
    <row r="514" spans="1:12" ht="19.5" hidden="1" customHeight="1">
      <c r="A514" s="57"/>
      <c r="C514" s="46"/>
      <c r="D514" s="116"/>
      <c r="E514" s="30"/>
      <c r="F514" s="166"/>
      <c r="G514" s="326" t="e">
        <f>Tracking_SI5[[#This Row],[Còn lại so với ĐH]]/Tracking_SI5[[#This Row],[Số  lượng trên ĐH]]</f>
        <v>#DIV/0!</v>
      </c>
      <c r="H514" s="166"/>
      <c r="I514" s="354"/>
      <c r="J514" s="344"/>
      <c r="K514" s="133"/>
      <c r="L514" s="32"/>
    </row>
    <row r="515" spans="1:12" ht="19.5" hidden="1" customHeight="1">
      <c r="A515" s="57"/>
      <c r="C515" s="46"/>
      <c r="D515" s="116"/>
      <c r="E515" s="30"/>
      <c r="F515" s="166"/>
      <c r="G515" s="326" t="e">
        <f>Tracking_SI5[[#This Row],[Còn lại so với ĐH]]/Tracking_SI5[[#This Row],[Số  lượng trên ĐH]]</f>
        <v>#DIV/0!</v>
      </c>
      <c r="H515" s="166"/>
      <c r="I515" s="606"/>
      <c r="J515" s="344"/>
      <c r="K515" s="133"/>
      <c r="L515" s="32"/>
    </row>
    <row r="516" spans="1:12" ht="19.5" hidden="1" customHeight="1">
      <c r="A516" s="57"/>
      <c r="C516" s="46"/>
      <c r="D516" s="116"/>
      <c r="E516" s="30"/>
      <c r="F516" s="166"/>
      <c r="G516" s="323" t="e">
        <f>Tracking_SI5[[#This Row],[Còn lại so với ĐH]]/Tracking_SI5[[#This Row],[Số  lượng trên ĐH]]</f>
        <v>#DIV/0!</v>
      </c>
      <c r="H516" s="166"/>
      <c r="I516" s="606"/>
      <c r="J516" s="344"/>
      <c r="K516" s="133"/>
      <c r="L516" s="32"/>
    </row>
    <row r="517" spans="1:12" ht="19.5" customHeight="1">
      <c r="A517" s="58" t="s">
        <v>106</v>
      </c>
      <c r="B517" s="81" t="s">
        <v>184</v>
      </c>
      <c r="C517" s="88" t="s">
        <v>185</v>
      </c>
      <c r="D517" s="118"/>
      <c r="E517" s="83"/>
      <c r="F517" s="84"/>
      <c r="G517" s="323" t="e">
        <f>Tracking_SI5[[#This Row],[Còn lại so với ĐH]]/Tracking_SI5[[#This Row],[Số  lượng trên ĐH]]</f>
        <v>#DIV/0!</v>
      </c>
      <c r="H517" s="84"/>
      <c r="I517" s="206"/>
      <c r="J517" s="85"/>
      <c r="K517" s="141"/>
      <c r="L517" s="85"/>
    </row>
    <row r="518" spans="1:12" ht="19.5" hidden="1" customHeight="1">
      <c r="A518" s="57"/>
      <c r="B518" s="57" t="s">
        <v>184</v>
      </c>
      <c r="C518" s="49"/>
      <c r="D518" s="113"/>
      <c r="E518" s="28"/>
      <c r="F518" s="338"/>
      <c r="G518" t="e">
        <f>Tracking_SI5[[#This Row],[Còn lại so với ĐH]]/Tracking_SI5[[#This Row],[Số  lượng trên ĐH]]</f>
        <v>#DIV/0!</v>
      </c>
      <c r="H518" s="338"/>
      <c r="I518" s="632"/>
      <c r="J518" s="633"/>
      <c r="K518" s="130"/>
      <c r="L518"/>
    </row>
    <row r="519" spans="1:12" ht="19.5" hidden="1" customHeight="1">
      <c r="A519" s="57"/>
      <c r="B519" s="1" t="s">
        <v>184</v>
      </c>
      <c r="C519" s="46"/>
      <c r="D519" s="116"/>
      <c r="E519" s="30"/>
      <c r="F519" s="166"/>
      <c r="G519" s="326" t="e">
        <f>Tracking_SI5[[#This Row],[Còn lại so với ĐH]]/Tracking_SI5[[#This Row],[Số  lượng trên ĐH]]</f>
        <v>#DIV/0!</v>
      </c>
      <c r="H519" s="164"/>
      <c r="I519" s="354"/>
      <c r="J519" s="344"/>
      <c r="K519" s="196"/>
      <c r="L519" s="32"/>
    </row>
    <row r="520" spans="1:12" ht="19.5" hidden="1" customHeight="1">
      <c r="A520" s="57"/>
      <c r="B520" s="57" t="s">
        <v>184</v>
      </c>
      <c r="C520" s="46"/>
      <c r="D520" s="116"/>
      <c r="E520" s="30"/>
      <c r="F520" s="166"/>
      <c r="G520" s="326" t="e">
        <f>Tracking_SI5[[#This Row],[Còn lại so với ĐH]]/Tracking_SI5[[#This Row],[Số  lượng trên ĐH]]</f>
        <v>#DIV/0!</v>
      </c>
      <c r="H520" s="164"/>
      <c r="I520" s="354"/>
      <c r="J520" s="344"/>
      <c r="K520" s="196"/>
      <c r="L520" s="32"/>
    </row>
    <row r="521" spans="1:12" ht="19.5" hidden="1" customHeight="1">
      <c r="A521" s="57"/>
      <c r="B521" s="1" t="s">
        <v>184</v>
      </c>
      <c r="C521" s="46"/>
      <c r="D521" s="116"/>
      <c r="E521" s="30"/>
      <c r="F521" s="166"/>
      <c r="G521" s="326" t="e">
        <f>Tracking_SI5[[#This Row],[Còn lại so với ĐH]]/Tracking_SI5[[#This Row],[Số  lượng trên ĐH]]</f>
        <v>#DIV/0!</v>
      </c>
      <c r="H521" s="164"/>
      <c r="I521" s="354"/>
      <c r="J521" s="344"/>
      <c r="K521" s="196"/>
      <c r="L521" s="32"/>
    </row>
    <row r="522" spans="1:12" ht="19.5" hidden="1" customHeight="1">
      <c r="A522" s="57"/>
      <c r="B522" s="57" t="s">
        <v>184</v>
      </c>
      <c r="C522" s="46"/>
      <c r="D522" s="154"/>
      <c r="E522" s="309"/>
      <c r="F522" s="621"/>
      <c r="G522" s="326" t="e">
        <f>Tracking_SI5[[#This Row],[Còn lại so với ĐH]]/Tracking_SI5[[#This Row],[Số  lượng trên ĐH]]</f>
        <v>#DIV/0!</v>
      </c>
      <c r="H522" s="616"/>
      <c r="I522" s="621"/>
      <c r="J522" s="303"/>
      <c r="K522" s="201"/>
      <c r="L522" s="32"/>
    </row>
    <row r="523" spans="1:12" ht="19.5" hidden="1" customHeight="1">
      <c r="A523" s="57"/>
      <c r="B523" s="1" t="s">
        <v>184</v>
      </c>
      <c r="C523" s="152"/>
      <c r="D523" s="116"/>
      <c r="E523" s="30"/>
      <c r="F523" s="166"/>
      <c r="G523" t="e">
        <f>Tracking_SI5[[#This Row],[Còn lại so với ĐH]]/Tracking_SI5[[#This Row],[Số  lượng trên ĐH]]</f>
        <v>#DIV/0!</v>
      </c>
      <c r="H523" s="606"/>
      <c r="I523" s="610"/>
      <c r="J523" s="344"/>
      <c r="K523" s="326"/>
      <c r="L523"/>
    </row>
    <row r="524" spans="1:12" ht="19.5" hidden="1" customHeight="1">
      <c r="A524" s="57"/>
      <c r="B524" s="57" t="s">
        <v>184</v>
      </c>
      <c r="C524" s="152"/>
      <c r="D524" s="116"/>
      <c r="E524" s="30"/>
      <c r="F524" s="169"/>
      <c r="G524" t="e">
        <f>Tracking_SI5[[#This Row],[Còn lại so với ĐH]]/Tracking_SI5[[#This Row],[Số  lượng trên ĐH]]</f>
        <v>#DIV/0!</v>
      </c>
      <c r="H524" s="164"/>
      <c r="I524" s="610"/>
      <c r="J524" s="344"/>
      <c r="K524" s="326"/>
      <c r="L524"/>
    </row>
    <row r="525" spans="1:12" ht="21.75" hidden="1" customHeight="1">
      <c r="A525" s="57"/>
      <c r="B525" s="1" t="s">
        <v>184</v>
      </c>
      <c r="C525" s="152"/>
      <c r="D525" s="116"/>
      <c r="E525" s="30"/>
      <c r="F525" s="166"/>
      <c r="G525" s="326" t="e">
        <f>Tracking_SI5[[#This Row],[Còn lại so với ĐH]]/Tracking_SI5[[#This Row],[Số  lượng trên ĐH]]</f>
        <v>#DIV/0!</v>
      </c>
      <c r="H525" s="164"/>
      <c r="I525" s="606"/>
      <c r="J525" s="344"/>
      <c r="K525" s="133"/>
      <c r="L525" s="32"/>
    </row>
    <row r="526" spans="1:12" ht="21.75" customHeight="1">
      <c r="A526" s="58" t="s">
        <v>106</v>
      </c>
      <c r="B526" s="89"/>
      <c r="C526" s="88" t="s">
        <v>91</v>
      </c>
      <c r="D526" s="118"/>
      <c r="E526" s="83"/>
      <c r="F526" s="84"/>
      <c r="G526" s="323" t="e">
        <f>Tracking_SI5[[#This Row],[Còn lại so với ĐH]]/Tracking_SI5[[#This Row],[Số  lượng trên ĐH]]</f>
        <v>#DIV/0!</v>
      </c>
      <c r="H526" s="84"/>
      <c r="I526" s="206"/>
      <c r="J526" s="85"/>
      <c r="K526" s="141"/>
      <c r="L526" s="85"/>
    </row>
    <row r="527" spans="1:12" ht="21.75" hidden="1" customHeight="1">
      <c r="A527" s="58"/>
      <c r="B527" s="1"/>
      <c r="C527" s="46"/>
      <c r="D527" s="111"/>
      <c r="E527" s="25"/>
      <c r="F527" s="163"/>
      <c r="G527" s="326" t="e">
        <f>Tracking_SI5[[#This Row],[Còn lại so với ĐH]]/Tracking_SI5[[#This Row],[Số  lượng trên ĐH]]</f>
        <v>#DIV/0!</v>
      </c>
      <c r="H527" s="163"/>
      <c r="I527" s="606"/>
      <c r="J527" s="163"/>
      <c r="K527" s="127"/>
      <c r="L527" s="24"/>
    </row>
    <row r="528" spans="1:12" ht="21.75" hidden="1" customHeight="1">
      <c r="A528" s="57"/>
      <c r="C528" s="46"/>
      <c r="D528" s="116"/>
      <c r="E528" s="30"/>
      <c r="F528" s="166"/>
      <c r="G528" s="326" t="e">
        <f>Tracking_SI5[[#This Row],[Còn lại so với ĐH]]/Tracking_SI5[[#This Row],[Số  lượng trên ĐH]]</f>
        <v>#DIV/0!</v>
      </c>
      <c r="H528" s="166"/>
      <c r="I528" s="619"/>
      <c r="J528" s="344"/>
      <c r="K528" s="133"/>
      <c r="L528" s="32"/>
    </row>
    <row r="529" spans="1:20" ht="21.75" hidden="1" customHeight="1">
      <c r="A529" s="57"/>
      <c r="C529" s="46"/>
      <c r="D529" s="116"/>
      <c r="E529" s="30"/>
      <c r="F529" s="166"/>
      <c r="G529" s="326" t="e">
        <f>Tracking_SI5[[#This Row],[Còn lại so với ĐH]]/Tracking_SI5[[#This Row],[Số  lượng trên ĐH]]</f>
        <v>#DIV/0!</v>
      </c>
      <c r="H529" s="166"/>
      <c r="I529" s="354"/>
      <c r="J529" s="344"/>
      <c r="K529" s="133"/>
      <c r="L529" s="32"/>
    </row>
    <row r="530" spans="1:20" ht="21.75" hidden="1" customHeight="1">
      <c r="A530" s="57"/>
      <c r="C530" s="46"/>
      <c r="D530" s="116"/>
      <c r="E530" s="30"/>
      <c r="F530" s="166"/>
      <c r="G530" s="323" t="e">
        <f>Tracking_SI5[[#This Row],[Còn lại so với ĐH]]/Tracking_SI5[[#This Row],[Số  lượng trên ĐH]]</f>
        <v>#DIV/0!</v>
      </c>
      <c r="H530" s="166"/>
      <c r="I530" s="606"/>
      <c r="J530" s="344"/>
      <c r="K530" s="133"/>
      <c r="L530" s="32"/>
    </row>
    <row r="531" spans="1:20" ht="21.75" customHeight="1">
      <c r="A531" s="58" t="s">
        <v>106</v>
      </c>
      <c r="B531" s="89" t="s">
        <v>207</v>
      </c>
      <c r="C531" s="88" t="s">
        <v>210</v>
      </c>
      <c r="D531" s="118"/>
      <c r="E531" s="83"/>
      <c r="F531" s="84"/>
      <c r="G531" s="323" t="e">
        <f>Tracking_SI5[[#This Row],[Còn lại so với ĐH]]/Tracking_SI5[[#This Row],[Số  lượng trên ĐH]]</f>
        <v>#DIV/0!</v>
      </c>
      <c r="H531" s="84"/>
      <c r="I531" s="206"/>
      <c r="J531" s="85"/>
      <c r="K531" s="141"/>
      <c r="L531" s="85"/>
    </row>
    <row r="532" spans="1:20">
      <c r="A532" s="57" t="s">
        <v>115</v>
      </c>
      <c r="B532" s="421" t="s">
        <v>207</v>
      </c>
      <c r="C532" s="261"/>
      <c r="D532" s="341">
        <v>46078</v>
      </c>
      <c r="E532" s="342" t="s">
        <v>208</v>
      </c>
      <c r="F532" s="343">
        <v>5000</v>
      </c>
      <c r="G532" s="323">
        <f>Tracking_SI5[[#This Row],[Còn lại so với ĐH]]/Tracking_SI5[[#This Row],[Số  lượng trên ĐH]]</f>
        <v>1.0800000000000001E-2</v>
      </c>
      <c r="H532" s="343">
        <f>SUM(H533:H536)</f>
        <v>4946</v>
      </c>
      <c r="I532" s="378">
        <f>Tracking_SI5[[#This Row],[Số  lượng trên ĐH]]-Tracking_SI5[[#This Row],[Số  lượng giao]]</f>
        <v>54</v>
      </c>
      <c r="J532" s="343"/>
      <c r="K532" s="356"/>
      <c r="L532" s="32"/>
    </row>
    <row r="533" spans="1:20" ht="26.25" hidden="1" customHeight="1">
      <c r="A533" s="57"/>
      <c r="B533" s="1" t="s">
        <v>207</v>
      </c>
      <c r="C533" s="46"/>
      <c r="D533" s="116" t="s">
        <v>262</v>
      </c>
      <c r="E533" s="30" t="s">
        <v>208</v>
      </c>
      <c r="F533" s="166"/>
      <c r="G533" s="323" t="e">
        <f>Tracking_SI5[[#This Row],[Còn lại so với ĐH]]/Tracking_SI5[[#This Row],[Số  lượng trên ĐH]]</f>
        <v>#DIV/0!</v>
      </c>
      <c r="H533" s="166">
        <v>3329</v>
      </c>
      <c r="I533" s="619"/>
      <c r="J533" s="344"/>
      <c r="K533" s="133"/>
      <c r="L533" s="32"/>
    </row>
    <row r="534" spans="1:20" ht="24" hidden="1" customHeight="1">
      <c r="A534" s="57"/>
      <c r="B534" s="1" t="s">
        <v>207</v>
      </c>
      <c r="C534" s="46"/>
      <c r="D534" s="116">
        <v>46230</v>
      </c>
      <c r="E534" s="30" t="s">
        <v>208</v>
      </c>
      <c r="F534" s="166"/>
      <c r="G534" s="323" t="e">
        <f>Tracking_SI5[[#This Row],[Còn lại so với ĐH]]/Tracking_SI5[[#This Row],[Số  lượng trên ĐH]]</f>
        <v>#DIV/0!</v>
      </c>
      <c r="H534" s="166">
        <v>1617</v>
      </c>
      <c r="I534" s="606"/>
      <c r="J534" s="344"/>
      <c r="K534" s="133"/>
      <c r="L534" s="32"/>
    </row>
    <row r="535" spans="1:20" ht="24" hidden="1" customHeight="1">
      <c r="A535" s="57"/>
      <c r="B535" s="1" t="s">
        <v>207</v>
      </c>
      <c r="C535" s="46"/>
      <c r="D535" s="116"/>
      <c r="E535" s="30" t="s">
        <v>208</v>
      </c>
      <c r="F535" s="166"/>
      <c r="G535" s="323" t="e">
        <f>Tracking_SI5[[#This Row],[Còn lại so với ĐH]]/Tracking_SI5[[#This Row],[Số  lượng trên ĐH]]</f>
        <v>#DIV/0!</v>
      </c>
      <c r="H535" s="166"/>
      <c r="I535" s="606"/>
      <c r="J535" s="344"/>
      <c r="K535" s="133"/>
      <c r="L535" s="32"/>
    </row>
    <row r="536" spans="1:20" ht="24" hidden="1" customHeight="1">
      <c r="A536" s="57"/>
      <c r="B536" s="1" t="s">
        <v>207</v>
      </c>
      <c r="C536" s="46"/>
      <c r="D536" s="116"/>
      <c r="E536" s="30" t="s">
        <v>208</v>
      </c>
      <c r="F536" s="166"/>
      <c r="G536" s="323" t="e">
        <f>Tracking_SI5[[#This Row],[Còn lại so với ĐH]]/Tracking_SI5[[#This Row],[Số  lượng trên ĐH]]</f>
        <v>#DIV/0!</v>
      </c>
      <c r="H536" s="166"/>
      <c r="I536" s="606"/>
      <c r="J536" s="344"/>
      <c r="K536" s="133"/>
      <c r="L536" s="32"/>
    </row>
    <row r="537" spans="1:20" ht="24" customHeight="1">
      <c r="A537" s="58" t="s">
        <v>106</v>
      </c>
      <c r="B537" s="90"/>
      <c r="C537" s="91" t="s">
        <v>93</v>
      </c>
      <c r="D537" s="121"/>
      <c r="E537" s="92"/>
      <c r="F537" s="93"/>
      <c r="G537" s="323" t="e">
        <f>Tracking_SI5[[#This Row],[Còn lại so với ĐH]]/Tracking_SI5[[#This Row],[Số  lượng trên ĐH]]</f>
        <v>#DIV/0!</v>
      </c>
      <c r="H537" s="93"/>
      <c r="I537" s="94"/>
      <c r="J537" s="94"/>
      <c r="K537" s="143"/>
      <c r="L537" s="94"/>
    </row>
    <row r="538" spans="1:20" ht="24" hidden="1" customHeight="1">
      <c r="A538" s="58"/>
      <c r="C538" s="48"/>
      <c r="D538" s="183"/>
      <c r="E538" s="194"/>
      <c r="F538" s="221"/>
      <c r="G538" s="326" t="e">
        <f>Tracking_SI5[[#This Row],[Còn lại so với ĐH]]/Tracking_SI5[[#This Row],[Số  lượng trên ĐH]]</f>
        <v>#DIV/0!</v>
      </c>
      <c r="H538" s="221"/>
      <c r="I538" s="344"/>
      <c r="J538" s="172"/>
      <c r="K538" s="195"/>
      <c r="L538" s="24"/>
      <c r="S538" s="589"/>
    </row>
    <row r="539" spans="1:20" ht="24" hidden="1" customHeight="1">
      <c r="A539" s="58"/>
      <c r="C539" s="48"/>
      <c r="D539" s="108"/>
      <c r="E539" s="27"/>
      <c r="F539" s="171"/>
      <c r="G539" s="326" t="e">
        <f>Tracking_SI5[[#This Row],[Còn lại so với ĐH]]/Tracking_SI5[[#This Row],[Số  lượng trên ĐH]]</f>
        <v>#DIV/0!</v>
      </c>
      <c r="H539" s="171"/>
      <c r="I539" s="344"/>
      <c r="J539" s="164"/>
      <c r="K539" s="138"/>
      <c r="L539" s="26"/>
      <c r="S539" s="589"/>
      <c r="T539" s="590"/>
    </row>
    <row r="540" spans="1:20" ht="24" hidden="1" customHeight="1">
      <c r="A540" s="57"/>
      <c r="C540" s="48"/>
      <c r="D540" s="111"/>
      <c r="E540" s="25"/>
      <c r="F540" s="173"/>
      <c r="G540" s="326" t="e">
        <f>Tracking_SI5[[#This Row],[Còn lại so với ĐH]]/Tracking_SI5[[#This Row],[Số  lượng trên ĐH]]</f>
        <v>#DIV/0!</v>
      </c>
      <c r="H540" s="173"/>
      <c r="I540" s="344"/>
      <c r="J540" s="163"/>
      <c r="K540" s="130"/>
      <c r="L540" s="24"/>
      <c r="S540" s="589"/>
      <c r="T540" s="590"/>
    </row>
    <row r="541" spans="1:20" ht="24" hidden="1" customHeight="1">
      <c r="A541" s="58"/>
      <c r="C541" s="48"/>
      <c r="D541" s="108"/>
      <c r="E541" s="27"/>
      <c r="F541" s="171"/>
      <c r="G541" s="323" t="e">
        <f>Tracking_SI5[[#This Row],[Còn lại so với ĐH]]/Tracking_SI5[[#This Row],[Số  lượng trên ĐH]]</f>
        <v>#DIV/0!</v>
      </c>
      <c r="H541" s="171"/>
      <c r="I541" s="344"/>
      <c r="J541" s="164"/>
      <c r="K541" s="131"/>
      <c r="L541" s="26"/>
      <c r="S541" s="17"/>
      <c r="T541" s="19"/>
    </row>
    <row r="542" spans="1:20" ht="24" hidden="1" customHeight="1">
      <c r="A542" s="58"/>
      <c r="C542" s="48"/>
      <c r="D542" s="108"/>
      <c r="E542" s="27"/>
      <c r="F542" s="171"/>
      <c r="G542" s="323" t="e">
        <f>Tracking_SI5[[#This Row],[Còn lại so với ĐH]]/Tracking_SI5[[#This Row],[Số  lượng trên ĐH]]</f>
        <v>#DIV/0!</v>
      </c>
      <c r="H542" s="171"/>
      <c r="I542" s="344"/>
      <c r="J542" s="164"/>
      <c r="K542" s="131"/>
      <c r="L542" s="26"/>
      <c r="S542" s="17"/>
      <c r="T542" s="19"/>
    </row>
    <row r="543" spans="1:20" ht="24" customHeight="1">
      <c r="A543" s="58" t="s">
        <v>106</v>
      </c>
      <c r="B543" s="90"/>
      <c r="C543" s="95" t="s">
        <v>94</v>
      </c>
      <c r="D543" s="121"/>
      <c r="E543" s="92"/>
      <c r="F543" s="96"/>
      <c r="G543" s="323" t="e">
        <f>Tracking_SI5[[#This Row],[Còn lại so với ĐH]]/Tracking_SI5[[#This Row],[Số  lượng trên ĐH]]</f>
        <v>#DIV/0!</v>
      </c>
      <c r="H543" s="96"/>
      <c r="I543" s="94"/>
      <c r="J543" s="94"/>
      <c r="K543" s="143"/>
      <c r="L543" s="94"/>
      <c r="R543" s="19"/>
      <c r="T543" s="19"/>
    </row>
    <row r="544" spans="1:20" ht="24" hidden="1" customHeight="1">
      <c r="A544" s="58"/>
      <c r="C544" s="46"/>
      <c r="D544" s="113"/>
      <c r="E544" s="25"/>
      <c r="F544" s="163"/>
      <c r="G544" s="326" t="e">
        <f>Tracking_SI5[[#This Row],[Còn lại so với ĐH]]/Tracking_SI5[[#This Row],[Số  lượng trên ĐH]]</f>
        <v>#DIV/0!</v>
      </c>
      <c r="H544" s="163"/>
      <c r="I544" s="344"/>
      <c r="J544" s="163"/>
      <c r="K544" s="127"/>
      <c r="L544" s="24"/>
      <c r="R544" s="590"/>
      <c r="T544" s="590"/>
    </row>
    <row r="545" spans="1:12" hidden="1">
      <c r="A545" s="57"/>
      <c r="C545" s="46"/>
      <c r="D545" s="116"/>
      <c r="E545" s="30"/>
      <c r="F545" s="166"/>
      <c r="G545" s="326" t="e">
        <f>Tracking_SI5[[#This Row],[Còn lại so với ĐH]]/Tracking_SI5[[#This Row],[Số  lượng trên ĐH]]</f>
        <v>#DIV/0!</v>
      </c>
      <c r="H545" s="166"/>
      <c r="I545" s="344"/>
      <c r="J545" s="344"/>
      <c r="K545" s="133"/>
      <c r="L545" s="32"/>
    </row>
    <row r="546" spans="1:12" hidden="1">
      <c r="A546" s="57"/>
      <c r="C546" s="46"/>
      <c r="D546" s="116"/>
      <c r="E546" s="30"/>
      <c r="F546" s="166"/>
      <c r="G546" s="323" t="e">
        <f>Tracking_SI5[[#This Row],[Còn lại so với ĐH]]/Tracking_SI5[[#This Row],[Số  lượng trên ĐH]]</f>
        <v>#DIV/0!</v>
      </c>
      <c r="H546" s="166"/>
      <c r="I546" s="344"/>
      <c r="J546" s="344"/>
      <c r="K546" s="133"/>
      <c r="L546" s="32"/>
    </row>
    <row r="547" spans="1:12">
      <c r="A547" s="58" t="s">
        <v>106</v>
      </c>
      <c r="B547" s="90"/>
      <c r="C547" s="95" t="s">
        <v>96</v>
      </c>
      <c r="D547" s="121"/>
      <c r="E547" s="97"/>
      <c r="F547" s="98"/>
      <c r="G547" s="323" t="e">
        <f>Tracking_SI5[[#This Row],[Còn lại so với ĐH]]/Tracking_SI5[[#This Row],[Số  lượng trên ĐH]]</f>
        <v>#DIV/0!</v>
      </c>
      <c r="H547" s="98"/>
      <c r="I547" s="94"/>
      <c r="J547" s="98"/>
      <c r="K547" s="144"/>
      <c r="L547" s="94"/>
    </row>
    <row r="548" spans="1:12" hidden="1">
      <c r="A548" s="57"/>
      <c r="C548" s="46"/>
      <c r="D548" s="183"/>
      <c r="E548" s="194"/>
      <c r="F548" s="172"/>
      <c r="G548" s="326" t="e">
        <f>Tracking_SI5[[#This Row],[Còn lại so với ĐH]]/Tracking_SI5[[#This Row],[Số  lượng trên ĐH]]</f>
        <v>#DIV/0!</v>
      </c>
      <c r="H548" s="172"/>
      <c r="I548" s="344"/>
      <c r="J548" s="172"/>
      <c r="K548" s="195"/>
      <c r="L548" s="29"/>
    </row>
    <row r="549" spans="1:12" hidden="1">
      <c r="A549" s="57"/>
      <c r="C549" s="46"/>
      <c r="D549" s="116"/>
      <c r="E549" s="30"/>
      <c r="F549" s="166"/>
      <c r="G549" s="326" t="e">
        <f>Tracking_SI5[[#This Row],[Còn lại so với ĐH]]/Tracking_SI5[[#This Row],[Số  lượng trên ĐH]]</f>
        <v>#DIV/0!</v>
      </c>
      <c r="H549" s="166"/>
      <c r="I549" s="344"/>
      <c r="J549" s="344"/>
      <c r="K549" s="133"/>
      <c r="L549" s="32"/>
    </row>
    <row r="550" spans="1:12" hidden="1">
      <c r="A550" s="57"/>
      <c r="C550" s="46"/>
      <c r="D550" s="116"/>
      <c r="E550" s="30"/>
      <c r="F550" s="166"/>
      <c r="G550" s="326" t="e">
        <f>Tracking_SI5[[#This Row],[Còn lại so với ĐH]]/Tracking_SI5[[#This Row],[Số  lượng trên ĐH]]</f>
        <v>#DIV/0!</v>
      </c>
      <c r="H550" s="166"/>
      <c r="I550" s="344"/>
      <c r="J550" s="344"/>
      <c r="K550" s="133"/>
      <c r="L550" s="32"/>
    </row>
    <row r="551" spans="1:12" hidden="1">
      <c r="A551" s="57"/>
      <c r="C551" s="46"/>
      <c r="D551" s="116"/>
      <c r="E551" s="30"/>
      <c r="F551" s="166"/>
      <c r="G551" s="326" t="e">
        <f>Tracking_SI5[[#This Row],[Còn lại so với ĐH]]/Tracking_SI5[[#This Row],[Số  lượng trên ĐH]]</f>
        <v>#DIV/0!</v>
      </c>
      <c r="H551" s="166"/>
      <c r="I551" s="344"/>
      <c r="J551" s="344"/>
      <c r="K551" s="133"/>
      <c r="L551" s="32"/>
    </row>
    <row r="552" spans="1:12">
      <c r="A552" s="58" t="s">
        <v>106</v>
      </c>
      <c r="B552" s="331" t="s">
        <v>182</v>
      </c>
      <c r="C552" s="91" t="s">
        <v>183</v>
      </c>
      <c r="D552" s="121"/>
      <c r="E552" s="92"/>
      <c r="F552" s="96"/>
      <c r="G552" s="323" t="e">
        <f>Tracking_SI5[[#This Row],[Còn lại so với ĐH]]/Tracking_SI5[[#This Row],[Số  lượng trên ĐH]]</f>
        <v>#DIV/0!</v>
      </c>
      <c r="H552" s="96"/>
      <c r="I552" s="94"/>
      <c r="J552" s="94"/>
      <c r="K552" s="143"/>
      <c r="L552" s="94"/>
    </row>
    <row r="553" spans="1:12" hidden="1">
      <c r="A553" s="57"/>
      <c r="B553" s="1" t="s">
        <v>182</v>
      </c>
      <c r="C553" s="46"/>
      <c r="D553" s="154"/>
      <c r="E553" s="155"/>
      <c r="F553" s="168"/>
      <c r="G553" s="326" t="e">
        <f>Tracking_SI5[[#This Row],[Còn lại so với ĐH]]/Tracking_SI5[[#This Row],[Số  lượng trên ĐH]]</f>
        <v>#DIV/0!</v>
      </c>
      <c r="H553" s="168"/>
      <c r="I553" s="333"/>
      <c r="J553" s="163"/>
      <c r="K553" s="182"/>
      <c r="L553" s="24"/>
    </row>
    <row r="554" spans="1:12" hidden="1">
      <c r="A554" s="57"/>
      <c r="B554" s="1" t="s">
        <v>182</v>
      </c>
      <c r="C554" s="46"/>
      <c r="D554" s="108"/>
      <c r="E554" s="332"/>
      <c r="F554" s="164"/>
      <c r="G554" s="326" t="e">
        <f>Tracking_SI5[[#This Row],[Còn lại so với ĐH]]/Tracking_SI5[[#This Row],[Số  lượng trên ĐH]]</f>
        <v>#DIV/0!</v>
      </c>
      <c r="H554" s="164"/>
      <c r="I554" s="344"/>
      <c r="J554" s="163"/>
      <c r="K554" s="130"/>
      <c r="L554" s="24"/>
    </row>
    <row r="555" spans="1:12" hidden="1">
      <c r="A555" s="57"/>
      <c r="B555" s="1" t="s">
        <v>182</v>
      </c>
      <c r="C555" s="46"/>
      <c r="D555" s="108"/>
      <c r="E555" s="332"/>
      <c r="F555" s="164"/>
      <c r="G555" s="326" t="e">
        <f>Tracking_SI5[[#This Row],[Còn lại so với ĐH]]/Tracking_SI5[[#This Row],[Số  lượng trên ĐH]]</f>
        <v>#DIV/0!</v>
      </c>
      <c r="H555" s="164"/>
      <c r="I555" s="344"/>
      <c r="J555" s="163"/>
      <c r="K555" s="130"/>
      <c r="L555" s="24"/>
    </row>
    <row r="556" spans="1:12" hidden="1">
      <c r="A556" s="57"/>
      <c r="B556" s="1" t="s">
        <v>182</v>
      </c>
      <c r="C556" s="46"/>
      <c r="D556" s="108"/>
      <c r="E556" s="332"/>
      <c r="F556" s="164"/>
      <c r="G556" s="326" t="e">
        <f>Tracking_SI5[[#This Row],[Còn lại so với ĐH]]/Tracking_SI5[[#This Row],[Số  lượng trên ĐH]]</f>
        <v>#DIV/0!</v>
      </c>
      <c r="H556" s="164"/>
      <c r="I556" s="344"/>
      <c r="J556" s="163"/>
      <c r="K556" s="130"/>
      <c r="L556" s="24"/>
    </row>
    <row r="557" spans="1:12" hidden="1">
      <c r="A557" s="57"/>
      <c r="B557" s="1" t="s">
        <v>182</v>
      </c>
      <c r="C557" s="46"/>
      <c r="D557" s="108"/>
      <c r="E557" s="27"/>
      <c r="F557" s="164"/>
      <c r="G557" s="323" t="e">
        <f>Tracking_SI5[[#This Row],[Còn lại so với ĐH]]/Tracking_SI5[[#This Row],[Số  lượng trên ĐH]]</f>
        <v>#DIV/0!</v>
      </c>
      <c r="H557" s="164"/>
      <c r="I557" s="344"/>
      <c r="J557" s="344"/>
      <c r="K557" s="133"/>
      <c r="L557" s="32"/>
    </row>
    <row r="558" spans="1:12">
      <c r="A558" s="58" t="s">
        <v>106</v>
      </c>
      <c r="B558" s="90" t="s">
        <v>264</v>
      </c>
      <c r="C558" s="91" t="s">
        <v>266</v>
      </c>
      <c r="D558" s="121"/>
      <c r="E558" s="99"/>
      <c r="F558" s="92"/>
      <c r="G558" s="323" t="e">
        <f>Tracking_SI5[[#This Row],[Còn lại so với ĐH]]/Tracking_SI5[[#This Row],[Số  lượng trên ĐH]]</f>
        <v>#DIV/0!</v>
      </c>
      <c r="H558" s="92"/>
      <c r="I558" s="94"/>
      <c r="J558" s="100"/>
      <c r="K558" s="145"/>
      <c r="L558" s="94"/>
    </row>
    <row r="559" spans="1:12" s="440" customFormat="1">
      <c r="A559" s="52" t="s">
        <v>115</v>
      </c>
      <c r="B559" s="421" t="s">
        <v>264</v>
      </c>
      <c r="C559" s="593"/>
      <c r="D559" s="341">
        <v>46140</v>
      </c>
      <c r="E559" s="342" t="s">
        <v>263</v>
      </c>
      <c r="F559" s="343">
        <v>12000</v>
      </c>
      <c r="G559" s="439">
        <f>Tracking_SI5[[#This Row],[Còn lại so với ĐH]]/Tracking_SI5[[#This Row],[Số  lượng trên ĐH]]</f>
        <v>-7.2500000000000004E-3</v>
      </c>
      <c r="H559" s="343">
        <f>SUM(H560:H565)</f>
        <v>12087</v>
      </c>
      <c r="I559" s="378">
        <f>Tracking_SI5[[#This Row],[Số  lượng trên ĐH]]-Tracking_SI5[[#This Row],[Số  lượng giao]]</f>
        <v>-87</v>
      </c>
      <c r="J559" s="343">
        <v>41800</v>
      </c>
      <c r="K559" s="356" t="s">
        <v>282</v>
      </c>
      <c r="L559" s="45"/>
    </row>
    <row r="560" spans="1:12" hidden="1">
      <c r="A560" s="58"/>
      <c r="B560" s="1" t="s">
        <v>264</v>
      </c>
      <c r="C560" s="48"/>
      <c r="D560" s="116">
        <v>46148</v>
      </c>
      <c r="E560" s="30" t="s">
        <v>263</v>
      </c>
      <c r="F560" s="166"/>
      <c r="G560" s="323" t="e">
        <f>Tracking_SI5[[#This Row],[Còn lại so với ĐH]]/Tracking_SI5[[#This Row],[Số  lượng trên ĐH]]</f>
        <v>#DIV/0!</v>
      </c>
      <c r="H560" s="166">
        <v>1569</v>
      </c>
      <c r="I560" s="344"/>
      <c r="J560" s="344"/>
      <c r="K560" s="133" t="s">
        <v>118</v>
      </c>
      <c r="L560" s="32"/>
    </row>
    <row r="561" spans="1:12" hidden="1">
      <c r="A561" s="58"/>
      <c r="B561" s="1" t="s">
        <v>264</v>
      </c>
      <c r="C561" s="48"/>
      <c r="D561" s="116">
        <v>46151</v>
      </c>
      <c r="E561" s="30" t="s">
        <v>263</v>
      </c>
      <c r="F561" s="166"/>
      <c r="G561" s="323" t="e">
        <f>Tracking_SI5[[#This Row],[Còn lại so với ĐH]]/Tracking_SI5[[#This Row],[Số  lượng trên ĐH]]</f>
        <v>#DIV/0!</v>
      </c>
      <c r="H561" s="166">
        <v>2355</v>
      </c>
      <c r="I561" s="344"/>
      <c r="J561" s="344"/>
      <c r="K561" s="133" t="s">
        <v>118</v>
      </c>
      <c r="L561" s="32"/>
    </row>
    <row r="562" spans="1:12" hidden="1">
      <c r="A562" s="58"/>
      <c r="B562" s="1" t="s">
        <v>264</v>
      </c>
      <c r="C562" s="48"/>
      <c r="D562" s="116">
        <v>46225</v>
      </c>
      <c r="E562" s="30" t="s">
        <v>263</v>
      </c>
      <c r="F562" s="166"/>
      <c r="G562" s="323" t="e">
        <f>Tracking_SI5[[#This Row],[Còn lại so với ĐH]]/Tracking_SI5[[#This Row],[Số  lượng trên ĐH]]</f>
        <v>#DIV/0!</v>
      </c>
      <c r="H562" s="166">
        <v>2117</v>
      </c>
      <c r="I562" s="344"/>
      <c r="J562" s="344"/>
      <c r="K562" s="133" t="s">
        <v>118</v>
      </c>
      <c r="L562" s="32"/>
    </row>
    <row r="563" spans="1:12" hidden="1">
      <c r="A563" s="58"/>
      <c r="B563" s="1" t="s">
        <v>264</v>
      </c>
      <c r="C563" s="312"/>
      <c r="D563" s="116">
        <v>46230</v>
      </c>
      <c r="E563" s="30" t="s">
        <v>263</v>
      </c>
      <c r="F563" s="31"/>
      <c r="G563" s="326" t="e">
        <f>Tracking_SI5[[#This Row],[Còn lại so với ĐH]]/Tracking_SI5[[#This Row],[Số  lượng trên ĐH]]</f>
        <v>#DIV/0!</v>
      </c>
      <c r="H563" s="31">
        <v>2595</v>
      </c>
      <c r="I563" s="668"/>
      <c r="J563" s="32"/>
      <c r="K563" s="133" t="s">
        <v>118</v>
      </c>
      <c r="L563" s="32"/>
    </row>
    <row r="564" spans="1:12" hidden="1">
      <c r="A564" s="58" t="s">
        <v>118</v>
      </c>
      <c r="B564" s="1" t="s">
        <v>264</v>
      </c>
      <c r="C564" s="312"/>
      <c r="D564" s="116">
        <v>46237</v>
      </c>
      <c r="E564" s="30" t="s">
        <v>263</v>
      </c>
      <c r="F564" s="31"/>
      <c r="G564" s="326" t="e">
        <f>Tracking_SI5[[#This Row],[Còn lại so với ĐH]]/Tracking_SI5[[#This Row],[Số  lượng trên ĐH]]</f>
        <v>#DIV/0!</v>
      </c>
      <c r="H564" s="31">
        <v>3451</v>
      </c>
      <c r="I564" s="668"/>
      <c r="J564" s="32"/>
      <c r="K564" s="133" t="s">
        <v>118</v>
      </c>
      <c r="L564" s="32"/>
    </row>
    <row r="565" spans="1:12" hidden="1">
      <c r="A565" s="58"/>
      <c r="B565" s="1" t="s">
        <v>264</v>
      </c>
      <c r="C565" s="312"/>
      <c r="D565" s="116"/>
      <c r="E565" s="30" t="s">
        <v>263</v>
      </c>
      <c r="F565" s="31"/>
      <c r="G565" s="326" t="e">
        <f>Tracking_SI5[[#This Row],[Còn lại so với ĐH]]/Tracking_SI5[[#This Row],[Số  lượng trên ĐH]]</f>
        <v>#DIV/0!</v>
      </c>
      <c r="H565" s="31"/>
      <c r="I565" s="668"/>
      <c r="J565" s="32"/>
      <c r="K565" s="133"/>
      <c r="L565" s="32"/>
    </row>
    <row r="566" spans="1:12">
      <c r="A566" s="58" t="s">
        <v>106</v>
      </c>
      <c r="B566" s="90"/>
      <c r="C566" s="91" t="s">
        <v>100</v>
      </c>
      <c r="D566" s="121"/>
      <c r="E566" s="92"/>
      <c r="F566" s="96"/>
      <c r="G566" s="323" t="e">
        <f>Tracking_SI5[[#This Row],[Còn lại so với ĐH]]/Tracking_SI5[[#This Row],[Số  lượng trên ĐH]]</f>
        <v>#DIV/0!</v>
      </c>
      <c r="H566" s="96"/>
      <c r="I566" s="94"/>
      <c r="J566" s="94"/>
      <c r="K566" s="143"/>
      <c r="L566" s="94"/>
    </row>
    <row r="567" spans="1:12" hidden="1">
      <c r="A567" s="58"/>
      <c r="C567" s="48"/>
      <c r="D567" s="116"/>
      <c r="E567" s="30"/>
      <c r="F567" s="166"/>
      <c r="G567" s="323" t="e">
        <f>Tracking_SI5[[#This Row],[Còn lại so với ĐH]]/Tracking_SI5[[#This Row],[Số  lượng trên ĐH]]</f>
        <v>#DIV/0!</v>
      </c>
      <c r="H567" s="166"/>
      <c r="I567" s="344"/>
      <c r="J567" s="344"/>
      <c r="K567" s="133"/>
      <c r="L567" s="32"/>
    </row>
    <row r="568" spans="1:12" hidden="1">
      <c r="A568" s="58"/>
      <c r="C568" s="48"/>
      <c r="D568" s="116"/>
      <c r="E568" s="30"/>
      <c r="F568" s="166"/>
      <c r="G568" s="323" t="e">
        <f>Tracking_SI5[[#This Row],[Còn lại so với ĐH]]/Tracking_SI5[[#This Row],[Số  lượng trên ĐH]]</f>
        <v>#DIV/0!</v>
      </c>
      <c r="H568" s="166"/>
      <c r="I568" s="344"/>
      <c r="J568" s="344"/>
      <c r="K568" s="133"/>
      <c r="L568" s="32"/>
    </row>
    <row r="569" spans="1:12" hidden="1">
      <c r="A569" s="58"/>
      <c r="C569" s="48"/>
      <c r="D569" s="116"/>
      <c r="E569" s="30"/>
      <c r="F569" s="166"/>
      <c r="G569" s="323" t="e">
        <f>Tracking_SI5[[#This Row],[Còn lại so với ĐH]]/Tracking_SI5[[#This Row],[Số  lượng trên ĐH]]</f>
        <v>#DIV/0!</v>
      </c>
      <c r="H569" s="166"/>
      <c r="I569" s="344"/>
      <c r="J569" s="344"/>
      <c r="K569" s="133"/>
      <c r="L569" s="32"/>
    </row>
    <row r="570" spans="1:12">
      <c r="A570" s="58" t="s">
        <v>106</v>
      </c>
      <c r="B570" s="90"/>
      <c r="C570" s="95" t="s">
        <v>101</v>
      </c>
      <c r="D570" s="121"/>
      <c r="E570" s="92"/>
      <c r="F570" s="96"/>
      <c r="G570" s="323" t="e">
        <f>Tracking_SI5[[#This Row],[Còn lại so với ĐH]]/Tracking_SI5[[#This Row],[Số  lượng trên ĐH]]</f>
        <v>#DIV/0!</v>
      </c>
      <c r="H570" s="96"/>
      <c r="I570" s="94"/>
      <c r="J570" s="94"/>
      <c r="K570" s="143"/>
      <c r="L570" s="94"/>
    </row>
    <row r="571" spans="1:12" hidden="1">
      <c r="A571" s="58"/>
      <c r="C571" s="48"/>
      <c r="D571" s="111"/>
      <c r="E571" s="25"/>
      <c r="F571" s="163"/>
      <c r="G571" s="326" t="e">
        <f>Tracking_SI5[[#This Row],[Còn lại so với ĐH]]/Tracking_SI5[[#This Row],[Số  lượng trên ĐH]]</f>
        <v>#DIV/0!</v>
      </c>
      <c r="H571" s="166"/>
      <c r="I571" s="606"/>
      <c r="J571" s="163"/>
      <c r="K571" s="127"/>
      <c r="L571" s="24"/>
    </row>
    <row r="572" spans="1:12" hidden="1">
      <c r="A572" s="58"/>
      <c r="C572" s="48"/>
      <c r="D572" s="116"/>
      <c r="E572" s="30"/>
      <c r="F572" s="166"/>
      <c r="G572" s="326" t="e">
        <f>Tracking_SI5[[#This Row],[Còn lại so với ĐH]]/Tracking_SI5[[#This Row],[Số  lượng trên ĐH]]</f>
        <v>#DIV/0!</v>
      </c>
      <c r="H572" s="166"/>
      <c r="I572" s="619"/>
      <c r="J572" s="344"/>
      <c r="K572" s="133"/>
      <c r="L572" s="32"/>
    </row>
    <row r="573" spans="1:12" hidden="1">
      <c r="A573" s="58"/>
      <c r="C573" s="48"/>
      <c r="D573" s="116"/>
      <c r="E573" s="30"/>
      <c r="F573" s="166"/>
      <c r="G573" s="323" t="e">
        <f>Tracking_SI5[[#This Row],[Còn lại so với ĐH]]/Tracking_SI5[[#This Row],[Số  lượng trên ĐH]]</f>
        <v>#DIV/0!</v>
      </c>
      <c r="H573" s="166"/>
      <c r="I573" s="606"/>
      <c r="J573" s="344"/>
      <c r="K573" s="133"/>
      <c r="L573" s="32"/>
    </row>
    <row r="574" spans="1:12" hidden="1">
      <c r="A574" s="58"/>
      <c r="C574" s="48"/>
      <c r="D574" s="116"/>
      <c r="E574" s="30"/>
      <c r="F574" s="166"/>
      <c r="G574" s="323" t="e">
        <f>Tracking_SI5[[#This Row],[Còn lại so với ĐH]]/Tracking_SI5[[#This Row],[Số  lượng trên ĐH]]</f>
        <v>#DIV/0!</v>
      </c>
      <c r="H574" s="166"/>
      <c r="I574" s="606"/>
      <c r="J574" s="344"/>
      <c r="K574" s="133"/>
      <c r="L574" s="32"/>
    </row>
    <row r="575" spans="1:12" hidden="1">
      <c r="A575" s="58"/>
      <c r="C575" s="48"/>
      <c r="D575" s="116"/>
      <c r="E575" s="30"/>
      <c r="F575" s="166"/>
      <c r="G575" s="323" t="e">
        <f>Tracking_SI5[[#This Row],[Còn lại so với ĐH]]/Tracking_SI5[[#This Row],[Số  lượng trên ĐH]]</f>
        <v>#DIV/0!</v>
      </c>
      <c r="H575" s="166"/>
      <c r="I575" s="619"/>
      <c r="J575" s="344"/>
      <c r="K575" s="133"/>
      <c r="L575" s="32"/>
    </row>
    <row r="576" spans="1:12" ht="17.399999999999999">
      <c r="A576" s="58" t="s">
        <v>106</v>
      </c>
      <c r="B576" s="101"/>
      <c r="C576" s="102" t="s">
        <v>103</v>
      </c>
      <c r="D576" s="122"/>
      <c r="E576" s="103"/>
      <c r="F576" s="104"/>
      <c r="G576" s="323" t="e">
        <f>Tracking_SI5[[#This Row],[Còn lại so với ĐH]]/Tracking_SI5[[#This Row],[Số  lượng trên ĐH]]</f>
        <v>#DIV/0!</v>
      </c>
      <c r="H576" s="104"/>
      <c r="I576" s="187"/>
      <c r="J576" s="105"/>
      <c r="K576" s="146"/>
      <c r="L576" s="105"/>
    </row>
    <row r="577" spans="1:12" hidden="1">
      <c r="A577" s="58"/>
      <c r="C577" s="46"/>
      <c r="D577" s="183"/>
      <c r="E577" s="194"/>
      <c r="F577" s="172"/>
      <c r="G577" s="326" t="e">
        <f>Tracking_SI5[[#This Row],[Còn lại so với ĐH]]/Tracking_SI5[[#This Row],[Số  lượng trên ĐH]]</f>
        <v>#DIV/0!</v>
      </c>
      <c r="H577" s="172"/>
      <c r="I577" s="627"/>
      <c r="J577" s="624"/>
      <c r="K577" s="130"/>
      <c r="L577" s="36"/>
    </row>
    <row r="578" spans="1:12" hidden="1">
      <c r="A578" s="57"/>
      <c r="C578" s="46"/>
      <c r="D578" s="116"/>
      <c r="E578" s="30"/>
      <c r="F578" s="169"/>
      <c r="G578" s="323" t="e">
        <f>Tracking_SI5[[#This Row],[Còn lại so với ĐH]]/Tracking_SI5[[#This Row],[Số  lượng trên ĐH]]</f>
        <v>#DIV/0!</v>
      </c>
      <c r="H578" s="166"/>
      <c r="I578" s="606"/>
      <c r="J578" s="618"/>
      <c r="K578" s="139"/>
      <c r="L578" s="37"/>
    </row>
    <row r="579" spans="1:12" hidden="1">
      <c r="A579" s="57"/>
      <c r="C579" s="46"/>
      <c r="D579" s="116"/>
      <c r="E579" s="30"/>
      <c r="F579" s="169"/>
      <c r="G579" s="323" t="e">
        <f>Tracking_SI5[[#This Row],[Còn lại so với ĐH]]/Tracking_SI5[[#This Row],[Số  lượng trên ĐH]]</f>
        <v>#DIV/0!</v>
      </c>
      <c r="H579" s="166"/>
      <c r="I579" s="606"/>
      <c r="J579" s="618"/>
      <c r="K579" s="139"/>
      <c r="L579" s="37"/>
    </row>
    <row r="580" spans="1:12" hidden="1">
      <c r="A580" s="57"/>
      <c r="C580" s="46"/>
      <c r="D580" s="116"/>
      <c r="E580" s="30"/>
      <c r="F580" s="169"/>
      <c r="G580" s="323" t="e">
        <f>Tracking_SI5[[#This Row],[Còn lại so với ĐH]]/Tracking_SI5[[#This Row],[Số  lượng trên ĐH]]</f>
        <v>#DIV/0!</v>
      </c>
      <c r="H580" s="166"/>
      <c r="I580" s="606"/>
      <c r="J580" s="618"/>
      <c r="K580" s="139"/>
      <c r="L580" s="37"/>
    </row>
    <row r="581" spans="1:12" hidden="1">
      <c r="A581" s="57"/>
      <c r="C581" s="46"/>
      <c r="D581" s="116"/>
      <c r="E581" s="30"/>
      <c r="F581" s="169"/>
      <c r="G581" s="323" t="e">
        <f>Tracking_SI5[[#This Row],[Còn lại so với ĐH]]/Tracking_SI5[[#This Row],[Số  lượng trên ĐH]]</f>
        <v>#DIV/0!</v>
      </c>
      <c r="H581" s="166"/>
      <c r="I581" s="606"/>
      <c r="J581" s="618"/>
      <c r="K581" s="139"/>
      <c r="L581" s="37"/>
    </row>
    <row r="582" spans="1:12">
      <c r="A582" s="58" t="s">
        <v>106</v>
      </c>
      <c r="B582" s="277" t="s">
        <v>159</v>
      </c>
      <c r="C582" s="278" t="s">
        <v>160</v>
      </c>
      <c r="D582" s="279"/>
      <c r="E582" s="280"/>
      <c r="F582" s="281"/>
      <c r="G582" s="323" t="e">
        <f>Tracking_SI5[[#This Row],[Còn lại so với ĐH]]/Tracking_SI5[[#This Row],[Số  lượng trên ĐH]]</f>
        <v>#DIV/0!</v>
      </c>
      <c r="H582" s="282"/>
      <c r="I582" s="283"/>
      <c r="J582" s="284"/>
      <c r="K582" s="285"/>
      <c r="L582" s="286"/>
    </row>
    <row r="583" spans="1:12" hidden="1">
      <c r="A583" s="57"/>
      <c r="B583" s="1" t="s">
        <v>159</v>
      </c>
      <c r="C583" s="152"/>
      <c r="D583" s="116"/>
      <c r="E583" s="30"/>
      <c r="F583" s="634"/>
      <c r="G583" s="323" t="e">
        <f>Tracking_SI5[[#This Row],[Còn lại so với ĐH]]/Tracking_SI5[[#This Row],[Số  lượng trên ĐH]]</f>
        <v>#DIV/0!</v>
      </c>
      <c r="H583" s="635"/>
      <c r="I583" s="606"/>
      <c r="J583" s="618"/>
      <c r="K583" s="139"/>
      <c r="L583" s="292"/>
    </row>
    <row r="584" spans="1:12" hidden="1">
      <c r="A584" s="57"/>
      <c r="B584" s="1" t="s">
        <v>159</v>
      </c>
      <c r="C584" s="152"/>
      <c r="D584" s="116"/>
      <c r="E584" s="289"/>
      <c r="F584" s="166"/>
      <c r="G584" s="327" t="e">
        <f>Tracking_SI5[[#This Row],[Còn lại so với ĐH]]/Tracking_SI5[[#This Row],[Số  lượng trên ĐH]]</f>
        <v>#DIV/0!</v>
      </c>
      <c r="H584" s="166"/>
      <c r="I584" s="619"/>
      <c r="J584" s="618"/>
      <c r="K584" s="139"/>
      <c r="L584" s="293"/>
    </row>
    <row r="585" spans="1:12" hidden="1">
      <c r="A585" s="57"/>
      <c r="B585" s="1" t="s">
        <v>159</v>
      </c>
      <c r="C585" s="152"/>
      <c r="D585" s="116"/>
      <c r="E585" s="289"/>
      <c r="F585" s="166"/>
      <c r="G585" s="327" t="e">
        <f>Tracking_SI5[[#This Row],[Còn lại so với ĐH]]/Tracking_SI5[[#This Row],[Số  lượng trên ĐH]]</f>
        <v>#DIV/0!</v>
      </c>
      <c r="H585" s="166"/>
      <c r="I585" s="606"/>
      <c r="J585" s="618"/>
      <c r="K585" s="139"/>
      <c r="L585" s="293"/>
    </row>
    <row r="586" spans="1:12" hidden="1">
      <c r="A586" s="57"/>
      <c r="B586" s="1" t="s">
        <v>159</v>
      </c>
      <c r="C586" s="152"/>
      <c r="D586" s="116"/>
      <c r="E586" s="289"/>
      <c r="F586" s="166"/>
      <c r="G586" s="327" t="e">
        <f>Tracking_SI5[[#This Row],[Còn lại so với ĐH]]/Tracking_SI5[[#This Row],[Số  lượng trên ĐH]]</f>
        <v>#DIV/0!</v>
      </c>
      <c r="H586" s="166"/>
      <c r="I586" s="606"/>
      <c r="J586" s="618"/>
      <c r="K586" s="139"/>
      <c r="L586" s="293"/>
    </row>
    <row r="587" spans="1:12" hidden="1">
      <c r="A587" s="57"/>
      <c r="B587" s="1" t="s">
        <v>159</v>
      </c>
      <c r="C587" s="152"/>
      <c r="D587" s="116"/>
      <c r="E587" s="296"/>
      <c r="F587" s="166"/>
      <c r="G587" s="323" t="e">
        <f>Tracking_SI5[[#This Row],[Còn lại so với ĐH]]/Tracking_SI5[[#This Row],[Số  lượng trên ĐH]]</f>
        <v>#DIV/0!</v>
      </c>
      <c r="H587" s="166"/>
      <c r="I587" s="606"/>
      <c r="J587" s="618"/>
      <c r="K587" s="139"/>
      <c r="L587" s="293"/>
    </row>
    <row r="588" spans="1:12" hidden="1">
      <c r="A588" s="57"/>
      <c r="B588" s="1" t="s">
        <v>159</v>
      </c>
      <c r="C588" s="152"/>
      <c r="D588" s="116"/>
      <c r="E588" s="297"/>
      <c r="F588" s="166"/>
      <c r="G588" s="323" t="e">
        <f>Tracking_SI5[[#This Row],[Còn lại so với ĐH]]/Tracking_SI5[[#This Row],[Số  lượng trên ĐH]]</f>
        <v>#DIV/0!</v>
      </c>
      <c r="H588" s="166"/>
      <c r="I588" s="606"/>
      <c r="J588" s="618"/>
      <c r="K588" s="139"/>
      <c r="L588" s="293"/>
    </row>
    <row r="589" spans="1:12" hidden="1">
      <c r="A589" s="57"/>
      <c r="B589" s="1" t="s">
        <v>159</v>
      </c>
      <c r="C589" s="152"/>
      <c r="D589" s="116"/>
      <c r="E589" s="297"/>
      <c r="F589" s="166"/>
      <c r="G589" s="323" t="e">
        <f>Tracking_SI5[[#This Row],[Còn lại so với ĐH]]/Tracking_SI5[[#This Row],[Số  lượng trên ĐH]]</f>
        <v>#DIV/0!</v>
      </c>
      <c r="H589" s="166"/>
      <c r="I589" s="606"/>
      <c r="J589" s="618"/>
      <c r="K589" s="139"/>
      <c r="L589" s="293"/>
    </row>
    <row r="590" spans="1:12">
      <c r="D590" s="273"/>
      <c r="F590" s="590"/>
      <c r="H590" s="187"/>
      <c r="I590" s="270"/>
      <c r="J590" s="271"/>
      <c r="K590" s="591"/>
      <c r="L590" s="592"/>
    </row>
    <row r="591" spans="1:12">
      <c r="D591" s="273"/>
      <c r="F591" s="19"/>
      <c r="H591" s="187"/>
      <c r="I591" s="270"/>
      <c r="J591" s="271"/>
      <c r="K591" s="272"/>
    </row>
    <row r="592" spans="1:12">
      <c r="F592" s="19"/>
      <c r="H592" s="187"/>
      <c r="I592" s="270"/>
      <c r="J592" s="271"/>
      <c r="K592" s="147"/>
    </row>
    <row r="593" spans="1:23">
      <c r="F593" s="275"/>
      <c r="H593" s="187"/>
      <c r="I593" s="275"/>
      <c r="J593" s="276"/>
      <c r="K593" s="275"/>
    </row>
    <row r="594" spans="1:23">
      <c r="H594" s="187"/>
    </row>
    <row r="595" spans="1:23">
      <c r="H595" s="187"/>
    </row>
    <row r="596" spans="1:23">
      <c r="H596" s="187"/>
    </row>
    <row r="597" spans="1:23" s="18" customFormat="1" ht="15.6">
      <c r="A597" s="59"/>
      <c r="B597" s="22"/>
      <c r="C597" s="51"/>
      <c r="D597" s="844"/>
      <c r="E597" s="848"/>
      <c r="F597"/>
      <c r="G597"/>
      <c r="H597" s="187"/>
      <c r="J597" s="147"/>
      <c r="K597"/>
      <c r="L597" s="322"/>
      <c r="N597"/>
      <c r="O597"/>
      <c r="P597"/>
      <c r="Q597"/>
      <c r="R597"/>
      <c r="S597"/>
      <c r="T597"/>
      <c r="U597"/>
      <c r="V597"/>
      <c r="W597"/>
    </row>
    <row r="598" spans="1:23" s="18" customFormat="1">
      <c r="A598" s="59"/>
      <c r="B598" s="22"/>
      <c r="C598" s="51"/>
      <c r="D598" s="51"/>
      <c r="E598" s="743"/>
      <c r="F598"/>
      <c r="G598"/>
      <c r="H598" s="187"/>
      <c r="J598" s="147"/>
      <c r="K598"/>
      <c r="L598" s="322"/>
      <c r="N598"/>
      <c r="O598"/>
      <c r="P598"/>
      <c r="Q598"/>
      <c r="R598"/>
      <c r="S598"/>
      <c r="T598"/>
      <c r="U598"/>
      <c r="V598"/>
      <c r="W598"/>
    </row>
    <row r="599" spans="1:23" s="18" customFormat="1">
      <c r="A599" s="59"/>
      <c r="B599" s="22"/>
      <c r="C599" s="51"/>
      <c r="D599" s="216"/>
      <c r="E599" s="744"/>
      <c r="F599"/>
      <c r="G599"/>
      <c r="H599" s="190"/>
      <c r="J599" s="147"/>
      <c r="K599"/>
      <c r="L599" s="322"/>
      <c r="N599"/>
      <c r="O599"/>
      <c r="P599"/>
      <c r="Q599"/>
      <c r="R599"/>
      <c r="S599"/>
      <c r="T599"/>
      <c r="U599"/>
      <c r="V599"/>
      <c r="W599"/>
    </row>
    <row r="600" spans="1:23" s="18" customFormat="1">
      <c r="A600" s="59"/>
      <c r="B600" s="22"/>
      <c r="C600" s="51"/>
      <c r="D600" s="216"/>
      <c r="E600" s="744"/>
      <c r="F600" s="53"/>
      <c r="G600"/>
      <c r="H600" s="187"/>
      <c r="J600" s="147"/>
      <c r="K600"/>
      <c r="L600" s="322"/>
      <c r="N600"/>
      <c r="O600"/>
      <c r="P600"/>
      <c r="Q600"/>
      <c r="R600"/>
      <c r="S600"/>
      <c r="T600"/>
      <c r="U600"/>
      <c r="V600"/>
      <c r="W600"/>
    </row>
    <row r="601" spans="1:23" s="18" customFormat="1">
      <c r="A601" s="59"/>
      <c r="B601" s="22"/>
      <c r="C601" s="51"/>
      <c r="D601" s="216"/>
      <c r="E601" s="744"/>
      <c r="F601"/>
      <c r="G601"/>
      <c r="H601" s="189"/>
      <c r="J601" s="147"/>
      <c r="K601"/>
      <c r="L601" s="322"/>
      <c r="N601"/>
      <c r="O601"/>
      <c r="P601"/>
      <c r="Q601"/>
      <c r="R601"/>
      <c r="S601"/>
      <c r="T601"/>
      <c r="U601"/>
      <c r="V601"/>
      <c r="W601"/>
    </row>
    <row r="602" spans="1:23" s="18" customFormat="1">
      <c r="A602" s="59"/>
      <c r="B602" s="22"/>
      <c r="C602" s="51"/>
      <c r="D602" s="216"/>
      <c r="E602" s="744"/>
      <c r="F602"/>
      <c r="G602"/>
      <c r="H602" s="187"/>
      <c r="J602" s="147"/>
      <c r="K602"/>
      <c r="L602" s="322"/>
      <c r="N602"/>
      <c r="O602"/>
      <c r="P602"/>
      <c r="Q602"/>
      <c r="R602"/>
      <c r="S602"/>
      <c r="T602"/>
      <c r="U602"/>
      <c r="V602"/>
      <c r="W602"/>
    </row>
    <row r="603" spans="1:23" s="18" customFormat="1">
      <c r="A603" s="59"/>
      <c r="B603" s="22"/>
      <c r="C603" s="51"/>
      <c r="D603" s="216"/>
      <c r="E603" s="744"/>
      <c r="F603"/>
      <c r="G603"/>
      <c r="H603" s="187"/>
      <c r="J603" s="147"/>
      <c r="K603"/>
      <c r="L603" s="322"/>
      <c r="N603"/>
      <c r="O603"/>
      <c r="P603"/>
      <c r="Q603"/>
      <c r="R603"/>
      <c r="S603"/>
      <c r="T603"/>
      <c r="U603"/>
      <c r="V603"/>
      <c r="W603"/>
    </row>
    <row r="604" spans="1:23" s="18" customFormat="1">
      <c r="A604" s="59"/>
      <c r="B604" s="22"/>
      <c r="C604" s="51"/>
      <c r="D604" s="216"/>
      <c r="E604" s="744"/>
      <c r="F604"/>
      <c r="G604"/>
      <c r="H604" s="9"/>
      <c r="J604" s="147"/>
      <c r="K604"/>
      <c r="L604" s="322"/>
      <c r="N604"/>
      <c r="O604"/>
      <c r="P604"/>
      <c r="Q604"/>
      <c r="R604"/>
      <c r="S604"/>
      <c r="T604"/>
      <c r="U604"/>
      <c r="V604"/>
      <c r="W604"/>
    </row>
    <row r="605" spans="1:23" s="18" customFormat="1">
      <c r="A605" s="59"/>
      <c r="B605" s="22"/>
      <c r="C605" s="51"/>
      <c r="D605" s="216"/>
      <c r="E605" s="744"/>
      <c r="F605"/>
      <c r="G605"/>
      <c r="H605" s="9"/>
      <c r="J605" s="147"/>
      <c r="K605"/>
      <c r="L605" s="322"/>
      <c r="N605"/>
      <c r="O605"/>
      <c r="P605"/>
      <c r="Q605"/>
      <c r="R605"/>
      <c r="S605"/>
      <c r="T605"/>
      <c r="U605"/>
      <c r="V605"/>
      <c r="W605"/>
    </row>
    <row r="606" spans="1:23" s="18" customFormat="1">
      <c r="A606" s="59"/>
      <c r="B606" s="22"/>
      <c r="C606" s="51"/>
      <c r="D606" s="216"/>
      <c r="E606" s="744"/>
      <c r="F606"/>
      <c r="G606"/>
      <c r="H606" s="9"/>
      <c r="J606" s="147"/>
      <c r="K606"/>
      <c r="L606" s="322"/>
      <c r="N606"/>
      <c r="O606"/>
      <c r="P606"/>
      <c r="Q606"/>
      <c r="R606"/>
      <c r="S606"/>
      <c r="T606"/>
      <c r="U606"/>
      <c r="V606"/>
      <c r="W606"/>
    </row>
    <row r="607" spans="1:23">
      <c r="D607" s="216"/>
      <c r="E607" s="744"/>
    </row>
    <row r="608" spans="1:23" s="18" customFormat="1">
      <c r="A608" s="59"/>
      <c r="B608" s="22"/>
      <c r="C608" s="51"/>
      <c r="D608" s="216"/>
      <c r="E608" s="744"/>
      <c r="F608"/>
      <c r="G608"/>
      <c r="H608" s="9"/>
      <c r="J608" s="147"/>
      <c r="K608"/>
      <c r="L608" s="322"/>
      <c r="N608"/>
      <c r="O608"/>
      <c r="P608"/>
      <c r="Q608"/>
      <c r="R608"/>
      <c r="S608"/>
      <c r="T608"/>
      <c r="U608"/>
      <c r="V608"/>
      <c r="W608"/>
    </row>
    <row r="609" spans="1:23" s="18" customFormat="1">
      <c r="A609" s="59"/>
      <c r="B609" s="22"/>
      <c r="C609" s="51"/>
      <c r="D609" s="216"/>
      <c r="E609" s="745"/>
      <c r="F609"/>
      <c r="G609"/>
      <c r="H609" s="9"/>
      <c r="J609" s="147"/>
      <c r="K609"/>
      <c r="L609" s="322"/>
      <c r="N609"/>
      <c r="O609"/>
      <c r="P609"/>
      <c r="Q609"/>
      <c r="R609"/>
      <c r="S609"/>
      <c r="T609"/>
      <c r="U609"/>
      <c r="V609"/>
      <c r="W609"/>
    </row>
    <row r="610" spans="1:23" s="18" customFormat="1">
      <c r="A610" s="59"/>
      <c r="B610" s="22"/>
      <c r="C610" s="51"/>
      <c r="D610" s="30"/>
      <c r="E610" s="737"/>
      <c r="F610"/>
      <c r="G610"/>
      <c r="H610" s="9"/>
      <c r="J610" s="147"/>
      <c r="K610"/>
      <c r="L610" s="322"/>
      <c r="N610"/>
      <c r="O610"/>
      <c r="P610"/>
      <c r="Q610"/>
      <c r="R610"/>
      <c r="S610"/>
      <c r="T610"/>
      <c r="U610"/>
      <c r="V610"/>
      <c r="W610"/>
    </row>
    <row r="611" spans="1:23" s="18" customFormat="1">
      <c r="A611" s="59"/>
      <c r="B611" s="22"/>
      <c r="C611" s="51"/>
      <c r="D611" s="216"/>
      <c r="E611" s="737"/>
      <c r="F611"/>
      <c r="G611"/>
      <c r="H611" s="9"/>
      <c r="J611" s="147"/>
      <c r="K611"/>
      <c r="L611" s="322"/>
      <c r="N611"/>
      <c r="O611"/>
      <c r="P611"/>
      <c r="Q611"/>
      <c r="R611"/>
      <c r="S611"/>
      <c r="T611"/>
      <c r="U611"/>
      <c r="V611"/>
      <c r="W611"/>
    </row>
    <row r="612" spans="1:23" s="18" customFormat="1">
      <c r="A612" s="59"/>
      <c r="B612" s="22"/>
      <c r="C612" s="51"/>
      <c r="D612" s="217"/>
      <c r="E612" s="746"/>
      <c r="F612"/>
      <c r="G612"/>
      <c r="H612" s="9"/>
      <c r="J612" s="147"/>
      <c r="K612"/>
      <c r="L612" s="322"/>
      <c r="N612"/>
      <c r="O612"/>
      <c r="P612"/>
      <c r="Q612"/>
      <c r="R612"/>
      <c r="S612"/>
      <c r="T612"/>
      <c r="U612"/>
      <c r="V612"/>
      <c r="W612"/>
    </row>
    <row r="613" spans="1:23">
      <c r="D613" s="217"/>
      <c r="E613" s="746"/>
    </row>
    <row r="614" spans="1:23">
      <c r="D614" s="217"/>
      <c r="E614" s="746"/>
    </row>
    <row r="615" spans="1:23">
      <c r="D615" s="218"/>
      <c r="E615" s="747"/>
    </row>
    <row r="616" spans="1:23">
      <c r="D616" s="218"/>
      <c r="E616" s="747"/>
    </row>
    <row r="617" spans="1:23">
      <c r="E617" s="746"/>
    </row>
    <row r="618" spans="1:23">
      <c r="E618" s="746"/>
    </row>
    <row r="619" spans="1:23">
      <c r="E619" s="746"/>
    </row>
    <row r="620" spans="1:23">
      <c r="E620" s="746"/>
    </row>
  </sheetData>
  <mergeCells count="2">
    <mergeCell ref="D597:E597"/>
    <mergeCell ref="A1:I2"/>
  </mergeCells>
  <phoneticPr fontId="19" type="noConversion"/>
  <conditionalFormatting sqref="B553:B557">
    <cfRule type="uniqueValues" dxfId="205" priority="275"/>
  </conditionalFormatting>
  <conditionalFormatting sqref="D3:D177 D179:D265 D267:D283">
    <cfRule type="timePeriod" dxfId="204" priority="13" stopIfTrue="1" timePeriod="today">
      <formula>FLOOR(D3,1)=TODAY()</formula>
    </cfRule>
  </conditionalFormatting>
  <conditionalFormatting sqref="D285:D300">
    <cfRule type="timePeriod" dxfId="203" priority="85" stopIfTrue="1" timePeriod="today">
      <formula>FLOOR(D285,1)=TODAY()</formula>
    </cfRule>
  </conditionalFormatting>
  <conditionalFormatting sqref="D302:D352">
    <cfRule type="timePeriod" dxfId="202" priority="20" stopIfTrue="1" timePeriod="today">
      <formula>FLOOR(D302,1)=TODAY()</formula>
    </cfRule>
  </conditionalFormatting>
  <conditionalFormatting sqref="D354:D386">
    <cfRule type="timePeriod" dxfId="201" priority="62" stopIfTrue="1" timePeriod="today">
      <formula>FLOOR(D354,1)=TODAY()</formula>
    </cfRule>
  </conditionalFormatting>
  <conditionalFormatting sqref="D393:D589">
    <cfRule type="timePeriod" dxfId="200" priority="51" stopIfTrue="1" timePeriod="today">
      <formula>FLOOR(D393,1)=TODAY()</formula>
    </cfRule>
  </conditionalFormatting>
  <conditionalFormatting sqref="D353:K353">
    <cfRule type="timePeriod" dxfId="199" priority="308" timePeriod="today">
      <formula>FLOOR(D353,1)=TODAY()</formula>
    </cfRule>
  </conditionalFormatting>
  <conditionalFormatting sqref="E283">
    <cfRule type="cellIs" dxfId="198" priority="221" operator="lessThan">
      <formula>-1</formula>
    </cfRule>
  </conditionalFormatting>
  <conditionalFormatting sqref="E310">
    <cfRule type="cellIs" dxfId="197" priority="173" operator="lessThan">
      <formula>-1</formula>
    </cfRule>
  </conditionalFormatting>
  <conditionalFormatting sqref="E408 E410:E411">
    <cfRule type="timePeriod" dxfId="196" priority="61" stopIfTrue="1" timePeriod="today">
      <formula>FLOOR(E408,1)=TODAY()</formula>
    </cfRule>
  </conditionalFormatting>
  <conditionalFormatting sqref="F5:G5">
    <cfRule type="cellIs" dxfId="195" priority="45" operator="lessThan">
      <formula>-0.01</formula>
    </cfRule>
  </conditionalFormatting>
  <conditionalFormatting sqref="F12:G12">
    <cfRule type="cellIs" dxfId="194" priority="12" operator="lessThan">
      <formula>-0.01</formula>
    </cfRule>
  </conditionalFormatting>
  <conditionalFormatting sqref="F25:G25">
    <cfRule type="cellIs" dxfId="193" priority="30" operator="lessThan">
      <formula>-0.01</formula>
    </cfRule>
  </conditionalFormatting>
  <conditionalFormatting sqref="F31:G31">
    <cfRule type="cellIs" dxfId="192" priority="141" operator="lessThan">
      <formula>-0.01</formula>
    </cfRule>
  </conditionalFormatting>
  <conditionalFormatting sqref="F42:G42">
    <cfRule type="cellIs" dxfId="191" priority="146" operator="lessThan">
      <formula>-0.01</formula>
    </cfRule>
  </conditionalFormatting>
  <conditionalFormatting sqref="F48:G48">
    <cfRule type="cellIs" dxfId="190" priority="154" operator="lessThan">
      <formula>-0.01</formula>
    </cfRule>
  </conditionalFormatting>
  <conditionalFormatting sqref="F141:G141">
    <cfRule type="cellIs" dxfId="189" priority="91" operator="lessThan">
      <formula>-1</formula>
    </cfRule>
  </conditionalFormatting>
  <conditionalFormatting sqref="F164:G164">
    <cfRule type="cellIs" dxfId="188" priority="80" operator="lessThan">
      <formula>-1</formula>
    </cfRule>
  </conditionalFormatting>
  <conditionalFormatting sqref="F171:G171">
    <cfRule type="cellIs" dxfId="187" priority="4" operator="lessThan">
      <formula>-1</formula>
    </cfRule>
  </conditionalFormatting>
  <conditionalFormatting sqref="F249:G249">
    <cfRule type="cellIs" dxfId="186" priority="78" operator="lessThan">
      <formula>-1</formula>
    </cfRule>
  </conditionalFormatting>
  <conditionalFormatting sqref="F283:G283">
    <cfRule type="cellIs" dxfId="185" priority="219" operator="lessThan">
      <formula>-1</formula>
    </cfRule>
  </conditionalFormatting>
  <conditionalFormatting sqref="F342:G346">
    <cfRule type="cellIs" dxfId="184" priority="272" operator="lessThan">
      <formula>-1</formula>
    </cfRule>
  </conditionalFormatting>
  <conditionalFormatting sqref="F393:G393">
    <cfRule type="cellIs" dxfId="183" priority="68" operator="lessThan">
      <formula>-1</formula>
    </cfRule>
  </conditionalFormatting>
  <conditionalFormatting sqref="F450:G450">
    <cfRule type="cellIs" dxfId="182" priority="282" operator="lessThan">
      <formula>-1</formula>
    </cfRule>
  </conditionalFormatting>
  <conditionalFormatting sqref="F522:G522 K522">
    <cfRule type="cellIs" dxfId="181" priority="267" operator="lessThan">
      <formula>-1</formula>
    </cfRule>
  </conditionalFormatting>
  <conditionalFormatting sqref="F386:H392 F394:H403 G522:H522 D284:E284 N385:XFD403 A386:C386 A387:E392 I387:L392 A393 A394:C394 A395:E403 I395:L403">
    <cfRule type="timePeriod" dxfId="180" priority="313" stopIfTrue="1" timePeriod="today">
      <formula>FLOOR(A284,1)=TODAY()</formula>
    </cfRule>
  </conditionalFormatting>
  <conditionalFormatting sqref="G4:G265 G267:G537">
    <cfRule type="cellIs" dxfId="179" priority="9" operator="lessThan">
      <formula>-0.0001</formula>
    </cfRule>
  </conditionalFormatting>
  <conditionalFormatting sqref="G5:G23">
    <cfRule type="cellIs" dxfId="178" priority="11" operator="lessThan">
      <formula>-0.01</formula>
    </cfRule>
  </conditionalFormatting>
  <conditionalFormatting sqref="G24">
    <cfRule type="cellIs" dxfId="177" priority="28" operator="lessThan">
      <formula>-1</formula>
    </cfRule>
  </conditionalFormatting>
  <conditionalFormatting sqref="G25:G31">
    <cfRule type="cellIs" dxfId="176" priority="10" operator="lessThan">
      <formula>-0.01</formula>
    </cfRule>
  </conditionalFormatting>
  <conditionalFormatting sqref="G43:G133">
    <cfRule type="cellIs" dxfId="175" priority="164" operator="lessThan">
      <formula>-0.01</formula>
    </cfRule>
  </conditionalFormatting>
  <conditionalFormatting sqref="G142:G155">
    <cfRule type="cellIs" dxfId="174" priority="202" operator="lessThan">
      <formula>-0.01</formula>
    </cfRule>
  </conditionalFormatting>
  <conditionalFormatting sqref="G172:G265 G267:G275 G166:G169">
    <cfRule type="cellIs" dxfId="173" priority="22" operator="lessThan">
      <formula>-0.01</formula>
    </cfRule>
  </conditionalFormatting>
  <conditionalFormatting sqref="G255:G260 F261:H265 F267:H275 E222 I224:I265 I267:I271">
    <cfRule type="cellIs" dxfId="172" priority="193" operator="lessThan">
      <formula>-1</formula>
    </cfRule>
  </conditionalFormatting>
  <conditionalFormatting sqref="G261:G265 G267:G275">
    <cfRule type="cellIs" dxfId="171" priority="21" operator="lessThan">
      <formula>-1</formula>
    </cfRule>
  </conditionalFormatting>
  <conditionalFormatting sqref="G310:G332">
    <cfRule type="cellIs" dxfId="170" priority="2" operator="lessThan">
      <formula>-0.01</formula>
    </cfRule>
  </conditionalFormatting>
  <conditionalFormatting sqref="G333:G392 G519:G522 G276:G309 G5:H5 G25:H25 G31:H31 G42:H42 G135:G140 G394:G403 G525:G589 L590:L1048576">
    <cfRule type="cellIs" dxfId="169" priority="295" operator="lessThan">
      <formula>-0.01</formula>
    </cfRule>
  </conditionalFormatting>
  <conditionalFormatting sqref="G405:G517">
    <cfRule type="cellIs" dxfId="168" priority="54" operator="lessThan">
      <formula>-0.01</formula>
    </cfRule>
  </conditionalFormatting>
  <conditionalFormatting sqref="G12:H12">
    <cfRule type="cellIs" dxfId="167" priority="14" operator="lessThan">
      <formula>-0.01</formula>
    </cfRule>
  </conditionalFormatting>
  <conditionalFormatting sqref="G140:H141 G283:H283 G303:H303 G338:H338 G344:H344 G385:H385 G582:H582 G87:H87 G103:H109 G126:H126 G133:H134 G416:H416 G422:H422 G497:H497 G223:H223 G254:H254 G32:H41 G156:H159 G164:H164 G310:H310 G319:H319 G328:H330 G523:H523 I6:I11 I26:I30 I43:I47 I49:I75 I77:I86 I110:I128 I130:I132 I166:I169 I172:I176 I347:I352 I354:I384 I451:I454 I456:I474 I476:I517 I525:I536 I571:I581">
    <cfRule type="cellIs" dxfId="166" priority="312" operator="lessThan">
      <formula>-1</formula>
    </cfRule>
  </conditionalFormatting>
  <conditionalFormatting sqref="G170:H171">
    <cfRule type="cellIs" dxfId="165" priority="5" operator="lessThan">
      <formula>-1</formula>
    </cfRule>
  </conditionalFormatting>
  <conditionalFormatting sqref="G332:H332">
    <cfRule type="cellIs" dxfId="164" priority="3" operator="lessThan">
      <formula>-1</formula>
    </cfRule>
  </conditionalFormatting>
  <conditionalFormatting sqref="I13:I24">
    <cfRule type="cellIs" dxfId="163" priority="35" operator="lessThan">
      <formula>-1</formula>
    </cfRule>
  </conditionalFormatting>
  <conditionalFormatting sqref="I87">
    <cfRule type="cellIs" dxfId="162" priority="160" operator="lessThan">
      <formula>-0.01</formula>
    </cfRule>
  </conditionalFormatting>
  <conditionalFormatting sqref="I88:I102">
    <cfRule type="cellIs" dxfId="161" priority="165" operator="lessThan">
      <formula>-1</formula>
    </cfRule>
  </conditionalFormatting>
  <conditionalFormatting sqref="I103:I109">
    <cfRule type="cellIs" dxfId="160" priority="131" operator="lessThan">
      <formula>-0.01</formula>
    </cfRule>
  </conditionalFormatting>
  <conditionalFormatting sqref="I134:I139">
    <cfRule type="cellIs" dxfId="159" priority="87" operator="lessThan">
      <formula>-1</formula>
    </cfRule>
  </conditionalFormatting>
  <conditionalFormatting sqref="I141:I155">
    <cfRule type="cellIs" dxfId="158" priority="88" operator="lessThan">
      <formula>-1</formula>
    </cfRule>
  </conditionalFormatting>
  <conditionalFormatting sqref="I178 K178">
    <cfRule type="cellIs" dxfId="157" priority="169" operator="lessThan">
      <formula>-0.01</formula>
    </cfRule>
  </conditionalFormatting>
  <conditionalFormatting sqref="I180 I182:I186 I188:I194 I196:I198">
    <cfRule type="cellIs" dxfId="156" priority="200" operator="lessThan">
      <formula>-1</formula>
    </cfRule>
  </conditionalFormatting>
  <conditionalFormatting sqref="I206:I222">
    <cfRule type="cellIs" dxfId="155" priority="191" operator="lessThan">
      <formula>-1</formula>
    </cfRule>
  </conditionalFormatting>
  <conditionalFormatting sqref="I276:I309">
    <cfRule type="cellIs" dxfId="154" priority="83" operator="lessThan">
      <formula>-1</formula>
    </cfRule>
  </conditionalFormatting>
  <conditionalFormatting sqref="I311:I341">
    <cfRule type="cellIs" dxfId="153" priority="16" operator="lessThan">
      <formula>-1</formula>
    </cfRule>
  </conditionalFormatting>
  <conditionalFormatting sqref="I386">
    <cfRule type="cellIs" dxfId="152" priority="64" operator="lessThan">
      <formula>-1</formula>
    </cfRule>
  </conditionalFormatting>
  <conditionalFormatting sqref="I394">
    <cfRule type="cellIs" dxfId="151" priority="65" operator="lessThan">
      <formula>-1</formula>
    </cfRule>
  </conditionalFormatting>
  <conditionalFormatting sqref="I404:I449">
    <cfRule type="cellIs" dxfId="150" priority="53" operator="lessThan">
      <formula>-1</formula>
    </cfRule>
  </conditionalFormatting>
  <conditionalFormatting sqref="I455">
    <cfRule type="cellIs" dxfId="149" priority="278" operator="lessThan">
      <formula>-0.01</formula>
    </cfRule>
  </conditionalFormatting>
  <conditionalFormatting sqref="I519:I522">
    <cfRule type="cellIs" dxfId="148" priority="263" operator="lessThan">
      <formula>-1</formula>
    </cfRule>
  </conditionalFormatting>
  <conditionalFormatting sqref="I559">
    <cfRule type="cellIs" dxfId="147" priority="178" operator="lessThan">
      <formula>-1</formula>
    </cfRule>
  </conditionalFormatting>
  <conditionalFormatting sqref="J195">
    <cfRule type="cellIs" dxfId="146" priority="128" operator="lessThan">
      <formula>-1</formula>
    </cfRule>
  </conditionalFormatting>
  <conditionalFormatting sqref="J200:J205">
    <cfRule type="cellIs" dxfId="145" priority="7" operator="lessThan">
      <formula>-1</formula>
    </cfRule>
  </conditionalFormatting>
  <conditionalFormatting sqref="J310">
    <cfRule type="cellIs" dxfId="144" priority="60" operator="lessThan">
      <formula>-1</formula>
    </cfRule>
  </conditionalFormatting>
  <conditionalFormatting sqref="J319">
    <cfRule type="cellIs" dxfId="143" priority="122" operator="lessThan">
      <formula>-1</formula>
    </cfRule>
  </conditionalFormatting>
  <conditionalFormatting sqref="J328:J330">
    <cfRule type="cellIs" dxfId="142" priority="15" operator="lessThan">
      <formula>-1</formula>
    </cfRule>
  </conditionalFormatting>
  <conditionalFormatting sqref="J332">
    <cfRule type="cellIs" dxfId="141" priority="1" operator="lessThan">
      <formula>-1</formula>
    </cfRule>
  </conditionalFormatting>
  <conditionalFormatting sqref="J129:K129">
    <cfRule type="timePeriod" dxfId="140" priority="294" stopIfTrue="1" timePeriod="today">
      <formula>FLOOR(J129,1)=TODAY()</formula>
    </cfRule>
  </conditionalFormatting>
  <conditionalFormatting sqref="K32:K42">
    <cfRule type="timePeriod" dxfId="139" priority="149" stopIfTrue="1" timePeriod="today">
      <formula>FLOOR(K32,1)=TODAY()</formula>
    </cfRule>
  </conditionalFormatting>
  <conditionalFormatting sqref="K141">
    <cfRule type="cellIs" dxfId="138" priority="90" operator="lessThan">
      <formula>-0.01</formula>
    </cfRule>
  </conditionalFormatting>
  <conditionalFormatting sqref="K180:K198 E216">
    <cfRule type="cellIs" dxfId="137" priority="205" operator="lessThan">
      <formula>-1</formula>
    </cfRule>
  </conditionalFormatting>
  <conditionalFormatting sqref="K200:K205">
    <cfRule type="cellIs" dxfId="136" priority="8" operator="lessThan">
      <formula>-1</formula>
    </cfRule>
  </conditionalFormatting>
  <conditionalFormatting sqref="K254">
    <cfRule type="timePeriod" dxfId="135" priority="50" stopIfTrue="1" timePeriod="today">
      <formula>FLOOR(K254,1)=TODAY()</formula>
    </cfRule>
  </conditionalFormatting>
  <conditionalFormatting sqref="K450">
    <cfRule type="cellIs" dxfId="134" priority="281" operator="lessThan">
      <formula>-0.01</formula>
    </cfRule>
  </conditionalFormatting>
  <conditionalFormatting sqref="K523:K524">
    <cfRule type="cellIs" dxfId="133" priority="264" operator="lessThan">
      <formula>-0.01</formula>
    </cfRule>
  </conditionalFormatting>
  <conditionalFormatting sqref="K386:L386 K394:L394">
    <cfRule type="timePeriod" dxfId="132" priority="73" stopIfTrue="1" timePeriod="today">
      <formula>FLOOR(K386,1)=TODAY()</formula>
    </cfRule>
  </conditionalFormatting>
  <conditionalFormatting sqref="L133:L134">
    <cfRule type="cellIs" dxfId="131" priority="93" operator="lessThan">
      <formula>-0.01</formula>
    </cfRule>
  </conditionalFormatting>
  <conditionalFormatting sqref="L140">
    <cfRule type="cellIs" dxfId="130" priority="96" operator="lessThan">
      <formula>-0.01</formula>
    </cfRule>
  </conditionalFormatting>
  <conditionalFormatting sqref="L156:L165">
    <cfRule type="cellIs" dxfId="129" priority="109" operator="lessThan">
      <formula>-0.01</formula>
    </cfRule>
  </conditionalFormatting>
  <conditionalFormatting sqref="O32:O42">
    <cfRule type="cellIs" dxfId="128" priority="148" operator="lessThan">
      <formula>-1</formula>
    </cfRule>
  </conditionalFormatting>
  <conditionalFormatting sqref="O310">
    <cfRule type="cellIs" dxfId="127" priority="172" operator="lessThan">
      <formula>-1</formula>
    </cfRule>
  </conditionalFormatting>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ED8C-76D7-4A99-8C4D-707BC48DC9AB}">
  <dimension ref="A1:V68"/>
  <sheetViews>
    <sheetView showGridLines="0" tabSelected="1" zoomScale="85" zoomScaleNormal="85" workbookViewId="0">
      <pane ySplit="3" topLeftCell="A25" activePane="bottomLeft" state="frozen"/>
      <selection pane="bottomLeft" activeCell="H41" sqref="H41"/>
    </sheetView>
  </sheetViews>
  <sheetFormatPr defaultRowHeight="14.4"/>
  <cols>
    <col min="1" max="1" width="14.6640625" style="59" customWidth="1"/>
    <col min="2" max="2" width="26.109375" style="22" customWidth="1"/>
    <col min="3" max="3" width="9.88671875" style="51" customWidth="1"/>
    <col min="4" max="5" width="25.88671875" style="30" customWidth="1"/>
    <col min="6" max="6" width="15.5546875" customWidth="1"/>
    <col min="7" max="7" width="17.33203125" customWidth="1"/>
    <col min="8" max="8" width="21.5546875" style="9" customWidth="1"/>
    <col min="9" max="9" width="16.88671875" style="18" customWidth="1"/>
    <col min="10" max="10" width="17.109375" style="147" customWidth="1"/>
    <col min="11" max="11" width="16.88671875" customWidth="1"/>
    <col min="12" max="12" width="20.6640625" style="322" customWidth="1"/>
    <col min="13" max="13" width="14" customWidth="1"/>
    <col min="14" max="14" width="0.44140625" customWidth="1"/>
    <col min="15" max="15" width="9.6640625" customWidth="1"/>
    <col min="16" max="16" width="9.88671875" customWidth="1"/>
    <col min="17" max="17" width="12.5546875" customWidth="1"/>
    <col min="18" max="18" width="14.33203125" customWidth="1"/>
    <col min="19" max="19" width="15.33203125" customWidth="1"/>
    <col min="20" max="21" width="11.88671875" customWidth="1"/>
    <col min="24" max="24" width="10.33203125" customWidth="1"/>
    <col min="25" max="25" width="16" customWidth="1"/>
  </cols>
  <sheetData>
    <row r="1" spans="1:12" ht="31.2">
      <c r="A1" s="681" t="s">
        <v>302</v>
      </c>
      <c r="B1" s="681"/>
      <c r="C1" s="681"/>
      <c r="D1" s="681"/>
      <c r="E1" s="681"/>
      <c r="G1" s="681"/>
      <c r="H1" s="681"/>
      <c r="I1" s="681"/>
      <c r="J1" s="681"/>
      <c r="K1" s="681"/>
    </row>
    <row r="2" spans="1:12" ht="23.25" customHeight="1">
      <c r="A2" s="57"/>
      <c r="C2" s="46"/>
      <c r="D2" s="214"/>
      <c r="E2" s="1"/>
      <c r="G2" s="17"/>
      <c r="H2" s="3"/>
      <c r="I2" s="3"/>
      <c r="J2" s="128"/>
    </row>
    <row r="3" spans="1:12" ht="63.75" customHeight="1">
      <c r="A3" s="57" t="s">
        <v>363</v>
      </c>
      <c r="B3" s="225" t="s">
        <v>0</v>
      </c>
      <c r="C3" s="226" t="s">
        <v>108</v>
      </c>
      <c r="D3" s="227" t="s">
        <v>331</v>
      </c>
      <c r="E3" s="228" t="s">
        <v>114</v>
      </c>
      <c r="F3" s="757" t="s">
        <v>341</v>
      </c>
      <c r="G3" s="229" t="s">
        <v>3</v>
      </c>
      <c r="H3" s="230" t="s">
        <v>4</v>
      </c>
      <c r="I3" s="231" t="s">
        <v>270</v>
      </c>
      <c r="J3" s="232" t="s">
        <v>5</v>
      </c>
      <c r="K3" s="233" t="s">
        <v>117</v>
      </c>
      <c r="L3" s="328" t="s">
        <v>107</v>
      </c>
    </row>
    <row r="4" spans="1:12" ht="21" customHeight="1">
      <c r="A4" s="58" t="s">
        <v>106</v>
      </c>
      <c r="B4" s="689" t="s">
        <v>305</v>
      </c>
      <c r="C4" s="690" t="s">
        <v>304</v>
      </c>
      <c r="D4" s="691"/>
      <c r="E4" s="692"/>
      <c r="F4" s="693"/>
      <c r="G4" s="694"/>
      <c r="H4" s="694"/>
      <c r="I4" s="695"/>
      <c r="J4" s="694"/>
      <c r="K4" s="696"/>
      <c r="L4" s="694"/>
    </row>
    <row r="5" spans="1:12" ht="19.5" customHeight="1">
      <c r="A5" s="58" t="s">
        <v>115</v>
      </c>
      <c r="B5" s="1" t="s">
        <v>305</v>
      </c>
      <c r="C5" s="47"/>
      <c r="D5" s="341">
        <v>46262</v>
      </c>
      <c r="E5" s="342" t="s">
        <v>306</v>
      </c>
      <c r="F5" s="697">
        <f>Tracking_SI56[[#This Row],[Còn lại so với ĐH]]/Tracking_SI56[[#This Row],[Số  lượng trên ĐH]]</f>
        <v>0</v>
      </c>
      <c r="G5" s="600">
        <v>10000</v>
      </c>
      <c r="H5" s="600">
        <f>SUM(H6:H7)</f>
        <v>10000</v>
      </c>
      <c r="I5" s="343">
        <f>Tracking_SI56[[#This Row],[Số  lượng trên ĐH]]-Tracking_SI56[[#This Row],[Số  lượng giao]]</f>
        <v>0</v>
      </c>
      <c r="J5" s="343"/>
      <c r="K5" s="356" t="s">
        <v>116</v>
      </c>
      <c r="L5" s="24"/>
    </row>
    <row r="6" spans="1:12" ht="19.5" customHeight="1">
      <c r="A6" s="57"/>
      <c r="B6" s="1" t="s">
        <v>305</v>
      </c>
      <c r="C6" s="46"/>
      <c r="D6" s="116">
        <v>46276</v>
      </c>
      <c r="E6" s="342" t="s">
        <v>306</v>
      </c>
      <c r="F6" s="326"/>
      <c r="G6" s="164"/>
      <c r="H6" s="164">
        <v>5261</v>
      </c>
      <c r="I6" s="354"/>
      <c r="J6" s="164"/>
      <c r="K6" s="131" t="s">
        <v>118</v>
      </c>
      <c r="L6" s="26"/>
    </row>
    <row r="7" spans="1:12" ht="19.5" customHeight="1">
      <c r="A7" s="57"/>
      <c r="B7" s="1" t="s">
        <v>305</v>
      </c>
      <c r="C7" s="46"/>
      <c r="D7" s="108">
        <v>46280</v>
      </c>
      <c r="E7" s="342" t="s">
        <v>306</v>
      </c>
      <c r="F7" s="326"/>
      <c r="G7" s="164"/>
      <c r="H7" s="164">
        <v>4739</v>
      </c>
      <c r="I7" s="606"/>
      <c r="J7" s="164"/>
      <c r="K7" s="131" t="s">
        <v>118</v>
      </c>
      <c r="L7" s="26"/>
    </row>
    <row r="8" spans="1:12" ht="19.5" customHeight="1">
      <c r="A8" s="57" t="s">
        <v>115</v>
      </c>
      <c r="B8" s="1" t="s">
        <v>305</v>
      </c>
      <c r="C8" s="46"/>
      <c r="D8" s="341">
        <v>46270</v>
      </c>
      <c r="E8" s="342" t="s">
        <v>307</v>
      </c>
      <c r="F8" s="697">
        <f>Tracking_SI56[[#This Row],[Còn lại so với ĐH]]/Tracking_SI56[[#This Row],[Số  lượng trên ĐH]]</f>
        <v>0</v>
      </c>
      <c r="G8" s="600">
        <v>20000</v>
      </c>
      <c r="H8" s="600">
        <f>SUM(H9:H13)</f>
        <v>20000</v>
      </c>
      <c r="I8" s="343">
        <f>Tracking_SI56[[#This Row],[Số  lượng trên ĐH]]-Tracking_SI56[[#This Row],[Số  lượng giao]]</f>
        <v>0</v>
      </c>
      <c r="J8" s="307"/>
      <c r="K8" s="641" t="s">
        <v>116</v>
      </c>
      <c r="L8" s="26"/>
    </row>
    <row r="9" spans="1:12" ht="21" customHeight="1">
      <c r="A9" s="57"/>
      <c r="B9" s="1" t="s">
        <v>305</v>
      </c>
      <c r="C9" s="152"/>
      <c r="D9" s="108">
        <v>46280</v>
      </c>
      <c r="E9" s="342" t="s">
        <v>307</v>
      </c>
      <c r="F9" s="326"/>
      <c r="G9" s="682"/>
      <c r="H9" s="683">
        <f>5346-H7</f>
        <v>607</v>
      </c>
      <c r="I9" s="349"/>
      <c r="J9" s="344"/>
      <c r="K9" s="133" t="s">
        <v>118</v>
      </c>
      <c r="L9" s="26"/>
    </row>
    <row r="10" spans="1:12" ht="21" customHeight="1">
      <c r="A10" s="57"/>
      <c r="B10" s="1" t="s">
        <v>305</v>
      </c>
      <c r="C10" s="152"/>
      <c r="D10" s="108">
        <v>46289</v>
      </c>
      <c r="E10" s="342" t="s">
        <v>307</v>
      </c>
      <c r="F10" s="326"/>
      <c r="G10" s="682"/>
      <c r="H10" s="683">
        <v>9546</v>
      </c>
      <c r="I10" s="349"/>
      <c r="J10" s="344"/>
      <c r="K10" s="133" t="s">
        <v>118</v>
      </c>
      <c r="L10" s="26"/>
    </row>
    <row r="11" spans="1:12" s="7" customFormat="1" ht="21" customHeight="1">
      <c r="A11" s="57"/>
      <c r="B11" s="1" t="s">
        <v>305</v>
      </c>
      <c r="C11" s="152"/>
      <c r="D11" s="215">
        <v>46297</v>
      </c>
      <c r="E11" s="342" t="s">
        <v>307</v>
      </c>
      <c r="F11" s="326"/>
      <c r="G11" s="682"/>
      <c r="H11" s="683">
        <v>3669</v>
      </c>
      <c r="I11" s="349"/>
      <c r="J11" s="344"/>
      <c r="K11" s="133" t="s">
        <v>118</v>
      </c>
      <c r="L11" s="26"/>
    </row>
    <row r="12" spans="1:12" s="7" customFormat="1" ht="21" customHeight="1">
      <c r="A12" s="57"/>
      <c r="B12" s="1" t="s">
        <v>305</v>
      </c>
      <c r="C12" s="152"/>
      <c r="D12" s="215">
        <v>46302</v>
      </c>
      <c r="E12" s="342" t="s">
        <v>307</v>
      </c>
      <c r="F12" s="326"/>
      <c r="G12" s="682"/>
      <c r="H12" s="683">
        <v>3715</v>
      </c>
      <c r="I12" s="349"/>
      <c r="J12" s="344"/>
      <c r="K12" s="133" t="s">
        <v>118</v>
      </c>
      <c r="L12" s="26"/>
    </row>
    <row r="13" spans="1:12" ht="21" customHeight="1">
      <c r="A13" s="57"/>
      <c r="B13" s="1" t="s">
        <v>305</v>
      </c>
      <c r="C13" s="46"/>
      <c r="D13" s="108">
        <v>46309</v>
      </c>
      <c r="E13" s="342" t="s">
        <v>307</v>
      </c>
      <c r="F13" s="326"/>
      <c r="G13" s="164"/>
      <c r="H13" s="164">
        <v>2463</v>
      </c>
      <c r="I13" s="349"/>
      <c r="J13" s="164"/>
      <c r="K13" s="133" t="s">
        <v>118</v>
      </c>
      <c r="L13" s="26"/>
    </row>
    <row r="14" spans="1:12" ht="21" customHeight="1">
      <c r="A14" s="57" t="s">
        <v>115</v>
      </c>
      <c r="B14" s="1" t="s">
        <v>305</v>
      </c>
      <c r="C14" s="46"/>
      <c r="D14" s="341">
        <v>46301</v>
      </c>
      <c r="E14" s="342" t="s">
        <v>348</v>
      </c>
      <c r="F14" s="697"/>
      <c r="G14" s="600">
        <v>6000</v>
      </c>
      <c r="H14" s="600">
        <f>SUM(H15:H17)</f>
        <v>4174</v>
      </c>
      <c r="I14" s="343">
        <f>Tracking_SI56[[#This Row],[Số  lượng trên ĐH]]-Tracking_SI56[[#This Row],[Số  lượng giao]]</f>
        <v>1826</v>
      </c>
      <c r="J14" s="307"/>
      <c r="K14" s="641"/>
      <c r="L14" s="26"/>
    </row>
    <row r="15" spans="1:12" ht="21" customHeight="1">
      <c r="A15" s="57"/>
      <c r="B15" s="1" t="s">
        <v>305</v>
      </c>
      <c r="C15" s="152"/>
      <c r="D15" s="215">
        <v>46309</v>
      </c>
      <c r="E15" s="342" t="s">
        <v>348</v>
      </c>
      <c r="F15" s="597"/>
      <c r="G15" s="783"/>
      <c r="H15" s="784">
        <v>967</v>
      </c>
      <c r="I15" s="360"/>
      <c r="J15" s="32"/>
      <c r="K15" s="133"/>
      <c r="L15" s="26"/>
    </row>
    <row r="16" spans="1:12" ht="21" customHeight="1">
      <c r="A16" s="57"/>
      <c r="B16" s="1" t="s">
        <v>305</v>
      </c>
      <c r="C16" s="152"/>
      <c r="D16" s="215">
        <v>46315</v>
      </c>
      <c r="E16" s="342" t="s">
        <v>348</v>
      </c>
      <c r="F16" s="597"/>
      <c r="G16" s="783"/>
      <c r="H16" s="784">
        <v>2247</v>
      </c>
      <c r="I16" s="360"/>
      <c r="J16" s="32"/>
      <c r="K16" s="133"/>
      <c r="L16" s="26"/>
    </row>
    <row r="17" spans="1:22" ht="21" customHeight="1">
      <c r="A17" s="57" t="s">
        <v>118</v>
      </c>
      <c r="B17" s="1" t="s">
        <v>305</v>
      </c>
      <c r="C17" s="152"/>
      <c r="D17" s="215">
        <v>46323</v>
      </c>
      <c r="E17" s="342" t="s">
        <v>348</v>
      </c>
      <c r="F17" s="597"/>
      <c r="G17" s="783"/>
      <c r="H17" s="784">
        <v>960</v>
      </c>
      <c r="I17" s="360"/>
      <c r="J17" s="32"/>
      <c r="K17" s="133"/>
      <c r="L17" s="26"/>
    </row>
    <row r="18" spans="1:22" s="420" customFormat="1" ht="21" customHeight="1">
      <c r="A18" s="58" t="s">
        <v>106</v>
      </c>
      <c r="B18" s="684" t="s">
        <v>313</v>
      </c>
      <c r="C18" s="383" t="s">
        <v>345</v>
      </c>
      <c r="D18" s="279"/>
      <c r="E18" s="342"/>
      <c r="F18" s="755"/>
      <c r="G18" s="385"/>
      <c r="H18" s="385"/>
      <c r="I18" s="698"/>
      <c r="J18" s="385"/>
      <c r="K18" s="386"/>
      <c r="L18" s="385"/>
    </row>
    <row r="19" spans="1:22" ht="21" customHeight="1">
      <c r="A19" s="425" t="s">
        <v>115</v>
      </c>
      <c r="B19" s="1" t="s">
        <v>313</v>
      </c>
      <c r="C19" s="46"/>
      <c r="D19" s="341">
        <v>46269</v>
      </c>
      <c r="E19" s="342" t="s">
        <v>311</v>
      </c>
      <c r="F19" s="697">
        <f>Tracking_SI56[[#This Row],[Còn lại so với ĐH]]/Tracking_SI56[[#This Row],[Số  lượng trên ĐH]]</f>
        <v>0</v>
      </c>
      <c r="G19" s="343">
        <v>20000</v>
      </c>
      <c r="H19" s="600">
        <f>SUM(H20:H24)</f>
        <v>20000</v>
      </c>
      <c r="I19" s="343">
        <f>Tracking_SI56[[#This Row],[Số  lượng trên ĐH]]-Tracking_SI56[[#This Row],[Số  lượng giao]]</f>
        <v>0</v>
      </c>
      <c r="J19" s="343"/>
      <c r="K19" s="356"/>
      <c r="L19" s="45"/>
    </row>
    <row r="20" spans="1:22" ht="21" customHeight="1">
      <c r="A20" s="57"/>
      <c r="B20" s="1" t="s">
        <v>313</v>
      </c>
      <c r="C20" s="46"/>
      <c r="D20" s="116">
        <v>46276</v>
      </c>
      <c r="E20" s="342" t="s">
        <v>311</v>
      </c>
      <c r="F20" s="326"/>
      <c r="G20" s="166"/>
      <c r="H20" s="166">
        <v>5769</v>
      </c>
      <c r="I20" s="608"/>
      <c r="J20" s="344"/>
      <c r="K20" s="133"/>
      <c r="L20" s="32"/>
    </row>
    <row r="21" spans="1:22" ht="21" customHeight="1">
      <c r="A21" s="57"/>
      <c r="B21" s="1" t="s">
        <v>313</v>
      </c>
      <c r="C21" s="46"/>
      <c r="D21" s="116">
        <v>46279</v>
      </c>
      <c r="E21" s="342" t="s">
        <v>311</v>
      </c>
      <c r="F21" s="326"/>
      <c r="G21" s="165"/>
      <c r="H21" s="166">
        <v>4988</v>
      </c>
      <c r="I21" s="608"/>
      <c r="J21" s="165"/>
      <c r="K21" s="127"/>
      <c r="L21" s="29"/>
    </row>
    <row r="22" spans="1:22" ht="21" customHeight="1">
      <c r="A22" s="57"/>
      <c r="B22" s="1" t="s">
        <v>313</v>
      </c>
      <c r="C22" s="46"/>
      <c r="D22" s="215">
        <v>46297</v>
      </c>
      <c r="E22" s="342" t="s">
        <v>311</v>
      </c>
      <c r="F22" s="597"/>
      <c r="G22" s="29"/>
      <c r="H22" s="166">
        <v>1539</v>
      </c>
      <c r="I22" s="188"/>
      <c r="J22" s="776"/>
      <c r="K22" s="133"/>
      <c r="L22" s="29"/>
    </row>
    <row r="23" spans="1:22" ht="21" customHeight="1">
      <c r="A23" s="57"/>
      <c r="B23" s="1" t="s">
        <v>313</v>
      </c>
      <c r="C23" s="46"/>
      <c r="D23" s="116">
        <v>46309</v>
      </c>
      <c r="E23" s="342" t="s">
        <v>311</v>
      </c>
      <c r="F23" s="597"/>
      <c r="G23" s="29"/>
      <c r="H23" s="166">
        <v>5002</v>
      </c>
      <c r="I23" s="188"/>
      <c r="J23" s="776"/>
      <c r="K23" s="133"/>
      <c r="L23" s="29"/>
    </row>
    <row r="24" spans="1:22" ht="21" customHeight="1">
      <c r="A24" s="57" t="s">
        <v>118</v>
      </c>
      <c r="B24" s="1" t="s">
        <v>313</v>
      </c>
      <c r="C24" s="46"/>
      <c r="D24" s="116">
        <v>46315</v>
      </c>
      <c r="E24" s="342" t="s">
        <v>311</v>
      </c>
      <c r="F24" s="597"/>
      <c r="G24" s="29"/>
      <c r="H24" s="31">
        <v>2702</v>
      </c>
      <c r="I24" s="188"/>
      <c r="J24" s="776"/>
      <c r="K24" s="133"/>
      <c r="L24" s="29"/>
    </row>
    <row r="25" spans="1:22" ht="21" customHeight="1">
      <c r="A25" s="425" t="s">
        <v>115</v>
      </c>
      <c r="B25" s="1" t="s">
        <v>313</v>
      </c>
      <c r="C25" s="46"/>
      <c r="D25" s="341">
        <v>46281</v>
      </c>
      <c r="E25" s="342" t="s">
        <v>339</v>
      </c>
      <c r="F25" s="697">
        <f>Tracking_SI56[[#This Row],[Còn lại so với ĐH]]/Tracking_SI56[[#This Row],[Số  lượng trên ĐH]]</f>
        <v>0.69310000000000005</v>
      </c>
      <c r="G25" s="343">
        <v>10000</v>
      </c>
      <c r="H25" s="600">
        <f>SUM(H26:H26)</f>
        <v>3069</v>
      </c>
      <c r="I25" s="343">
        <f>Tracking_SI56[[#This Row],[Số  lượng trên ĐH]]-Tracking_SI56[[#This Row],[Số  lượng giao]]</f>
        <v>6931</v>
      </c>
      <c r="J25" s="343"/>
      <c r="K25" s="356"/>
      <c r="L25" s="29"/>
    </row>
    <row r="26" spans="1:22" ht="21" customHeight="1">
      <c r="A26" s="57" t="s">
        <v>118</v>
      </c>
      <c r="B26" s="1" t="s">
        <v>313</v>
      </c>
      <c r="C26" s="46"/>
      <c r="D26" s="116">
        <v>46315</v>
      </c>
      <c r="E26" s="342" t="s">
        <v>339</v>
      </c>
      <c r="F26" s="597"/>
      <c r="G26" s="29"/>
      <c r="H26" s="31">
        <v>3069</v>
      </c>
      <c r="I26" s="188"/>
      <c r="J26" s="32"/>
      <c r="K26" s="133"/>
      <c r="L26" s="29"/>
    </row>
    <row r="27" spans="1:22" ht="21" customHeight="1">
      <c r="A27" s="58" t="s">
        <v>106</v>
      </c>
      <c r="B27" s="684" t="s">
        <v>309</v>
      </c>
      <c r="C27" s="383" t="s">
        <v>308</v>
      </c>
      <c r="D27" s="279"/>
      <c r="E27" s="342"/>
      <c r="F27" s="685"/>
      <c r="G27" s="686"/>
      <c r="H27" s="686"/>
      <c r="I27" s="687"/>
      <c r="J27" s="285"/>
      <c r="K27" s="688"/>
      <c r="L27" s="285"/>
      <c r="M27" s="166"/>
      <c r="N27" s="186"/>
      <c r="O27" s="32"/>
      <c r="P27" s="133"/>
    </row>
    <row r="28" spans="1:22" ht="21" customHeight="1">
      <c r="A28" s="57" t="s">
        <v>115</v>
      </c>
      <c r="B28" s="1" t="s">
        <v>309</v>
      </c>
      <c r="C28" s="46"/>
      <c r="D28" s="341">
        <v>46270</v>
      </c>
      <c r="E28" s="342" t="s">
        <v>310</v>
      </c>
      <c r="F28" s="697">
        <f>Tracking_SI56[[#This Row],[Còn lại so với ĐH]]/Tracking_SI56[[#This Row],[Số  lượng trên ĐH]]</f>
        <v>1.4800000000000001E-2</v>
      </c>
      <c r="G28" s="600">
        <v>15000</v>
      </c>
      <c r="H28" s="600">
        <f>SUM(H29:H31)</f>
        <v>14778</v>
      </c>
      <c r="I28" s="343">
        <f>Tracking_SI56[[#This Row],[Số  lượng trên ĐH]]-Tracking_SI56[[#This Row],[Số  lượng giao]]</f>
        <v>222</v>
      </c>
      <c r="J28" s="622"/>
      <c r="K28" s="193" t="s">
        <v>116</v>
      </c>
      <c r="L28" s="32"/>
      <c r="M28" s="166"/>
      <c r="N28" s="186"/>
      <c r="O28" s="32"/>
      <c r="P28" s="133"/>
    </row>
    <row r="29" spans="1:22" s="18" customFormat="1">
      <c r="A29" s="57"/>
      <c r="B29" s="1" t="s">
        <v>309</v>
      </c>
      <c r="C29" s="46"/>
      <c r="D29" s="116">
        <v>46279</v>
      </c>
      <c r="E29" s="342" t="s">
        <v>310</v>
      </c>
      <c r="F29" s="326"/>
      <c r="G29" s="166"/>
      <c r="H29" s="166">
        <v>2692</v>
      </c>
      <c r="I29" s="608"/>
      <c r="J29" s="344"/>
      <c r="K29" s="130" t="s">
        <v>116</v>
      </c>
      <c r="L29" s="32"/>
      <c r="M29"/>
      <c r="N29"/>
      <c r="O29"/>
      <c r="P29"/>
      <c r="Q29"/>
      <c r="R29"/>
      <c r="S29"/>
      <c r="T29"/>
      <c r="U29"/>
      <c r="V29"/>
    </row>
    <row r="30" spans="1:22" s="18" customFormat="1">
      <c r="A30" s="57"/>
      <c r="B30" s="1" t="s">
        <v>309</v>
      </c>
      <c r="C30" s="46"/>
      <c r="D30" s="116">
        <v>46280</v>
      </c>
      <c r="E30" s="342" t="s">
        <v>310</v>
      </c>
      <c r="F30" s="326"/>
      <c r="G30" s="166"/>
      <c r="H30" s="166">
        <v>2011</v>
      </c>
      <c r="I30" s="608"/>
      <c r="J30" s="344"/>
      <c r="K30" s="130" t="s">
        <v>116</v>
      </c>
      <c r="L30" s="32"/>
      <c r="M30"/>
      <c r="N30"/>
      <c r="O30"/>
      <c r="P30"/>
      <c r="Q30"/>
      <c r="R30"/>
      <c r="S30"/>
      <c r="T30"/>
      <c r="U30"/>
      <c r="V30"/>
    </row>
    <row r="31" spans="1:22" s="18" customFormat="1">
      <c r="A31" s="57"/>
      <c r="B31" s="1" t="s">
        <v>309</v>
      </c>
      <c r="C31" s="152"/>
      <c r="D31" s="116">
        <v>46289</v>
      </c>
      <c r="E31" s="342" t="s">
        <v>310</v>
      </c>
      <c r="F31" s="597"/>
      <c r="G31" s="166"/>
      <c r="H31" s="166">
        <v>10075</v>
      </c>
      <c r="I31" s="608"/>
      <c r="J31" s="344"/>
      <c r="K31" s="130" t="s">
        <v>116</v>
      </c>
      <c r="L31" s="32"/>
      <c r="M31"/>
      <c r="N31"/>
      <c r="O31"/>
      <c r="P31"/>
      <c r="Q31"/>
      <c r="R31"/>
      <c r="S31"/>
      <c r="T31"/>
      <c r="U31"/>
      <c r="V31"/>
    </row>
    <row r="32" spans="1:22" s="18" customFormat="1">
      <c r="A32" s="57" t="s">
        <v>115</v>
      </c>
      <c r="B32" s="1" t="s">
        <v>309</v>
      </c>
      <c r="C32" s="46"/>
      <c r="D32" s="341">
        <v>46269</v>
      </c>
      <c r="E32" s="342" t="s">
        <v>312</v>
      </c>
      <c r="F32" s="697">
        <f>Tracking_SI56[[#This Row],[Còn lại so với ĐH]]/Tracking_SI56[[#This Row],[Số  lượng trên ĐH]]</f>
        <v>0</v>
      </c>
      <c r="G32" s="600">
        <v>10000</v>
      </c>
      <c r="H32" s="600">
        <f>SUM(H33:H35)</f>
        <v>10000</v>
      </c>
      <c r="I32" s="343">
        <f>Tracking_SI56[[#This Row],[Số  lượng trên ĐH]]-Tracking_SI56[[#This Row],[Số  lượng giao]]</f>
        <v>0</v>
      </c>
      <c r="J32" s="622"/>
      <c r="K32" s="193"/>
      <c r="L32" s="32"/>
      <c r="M32"/>
      <c r="N32"/>
      <c r="O32"/>
      <c r="P32"/>
      <c r="Q32"/>
      <c r="R32"/>
      <c r="S32"/>
      <c r="T32"/>
      <c r="U32"/>
      <c r="V32"/>
    </row>
    <row r="33" spans="1:22" s="18" customFormat="1">
      <c r="A33" s="57"/>
      <c r="B33" s="1" t="s">
        <v>309</v>
      </c>
      <c r="C33" s="152"/>
      <c r="D33" s="215">
        <v>46297</v>
      </c>
      <c r="E33" s="342" t="s">
        <v>312</v>
      </c>
      <c r="F33" s="326"/>
      <c r="G33" s="31"/>
      <c r="H33" s="31">
        <v>4947</v>
      </c>
      <c r="I33" s="185"/>
      <c r="J33" s="32"/>
      <c r="K33" s="133"/>
      <c r="L33" s="32"/>
      <c r="M33"/>
      <c r="N33"/>
      <c r="O33"/>
      <c r="P33"/>
      <c r="Q33"/>
      <c r="R33"/>
      <c r="S33"/>
      <c r="T33"/>
      <c r="U33"/>
      <c r="V33"/>
    </row>
    <row r="34" spans="1:22" s="18" customFormat="1">
      <c r="A34" s="57"/>
      <c r="B34" s="1" t="s">
        <v>309</v>
      </c>
      <c r="C34" s="152"/>
      <c r="D34" s="116">
        <v>46302</v>
      </c>
      <c r="E34" s="342" t="s">
        <v>312</v>
      </c>
      <c r="F34" s="326"/>
      <c r="G34" s="31"/>
      <c r="H34" s="31">
        <v>4016</v>
      </c>
      <c r="I34" s="185"/>
      <c r="J34" s="32"/>
      <c r="K34" s="133"/>
      <c r="L34" s="32"/>
      <c r="M34"/>
      <c r="N34"/>
      <c r="O34"/>
      <c r="P34"/>
      <c r="Q34"/>
      <c r="R34"/>
      <c r="S34"/>
      <c r="T34"/>
      <c r="U34"/>
      <c r="V34"/>
    </row>
    <row r="35" spans="1:22">
      <c r="A35" s="57" t="s">
        <v>118</v>
      </c>
      <c r="B35" s="1" t="s">
        <v>309</v>
      </c>
      <c r="C35" s="234"/>
      <c r="D35" s="116">
        <v>46323</v>
      </c>
      <c r="E35" s="342" t="s">
        <v>312</v>
      </c>
      <c r="F35" s="597"/>
      <c r="G35" s="31"/>
      <c r="H35" s="31">
        <v>1037</v>
      </c>
      <c r="I35" s="185"/>
      <c r="J35" s="32"/>
      <c r="K35" s="133"/>
      <c r="L35" s="32"/>
    </row>
    <row r="36" spans="1:22">
      <c r="A36" s="57"/>
      <c r="B36" s="1" t="s">
        <v>309</v>
      </c>
      <c r="C36" s="761"/>
      <c r="D36" s="341">
        <v>46281</v>
      </c>
      <c r="E36" s="342" t="s">
        <v>339</v>
      </c>
      <c r="F36" s="697">
        <f>Tracking_SI56[[#This Row],[Còn lại so với ĐH]]/Tracking_SI56[[#This Row],[Số  lượng trên ĐH]]</f>
        <v>-3.0499999999999999E-2</v>
      </c>
      <c r="G36" s="600">
        <v>10000</v>
      </c>
      <c r="H36" s="600">
        <f>SUM(H37:H37)</f>
        <v>10305</v>
      </c>
      <c r="I36" s="343">
        <f>Tracking_SI56[[#This Row],[Số  lượng trên ĐH]]-Tracking_SI56[[#This Row],[Số  lượng giao]]</f>
        <v>-305</v>
      </c>
      <c r="J36" s="622"/>
      <c r="K36" s="193"/>
      <c r="L36" s="32"/>
    </row>
    <row r="37" spans="1:22">
      <c r="A37" s="57" t="s">
        <v>118</v>
      </c>
      <c r="B37" s="1" t="s">
        <v>309</v>
      </c>
      <c r="C37" s="234"/>
      <c r="D37" s="116">
        <v>46323</v>
      </c>
      <c r="E37" s="342" t="s">
        <v>339</v>
      </c>
      <c r="F37" s="597"/>
      <c r="G37" s="31"/>
      <c r="H37" s="31">
        <v>10305</v>
      </c>
      <c r="I37" s="185"/>
      <c r="J37" s="32"/>
      <c r="K37" s="133"/>
      <c r="L37" s="32"/>
    </row>
    <row r="38" spans="1:22">
      <c r="D38" s="273"/>
      <c r="G38" s="590"/>
      <c r="H38" s="187"/>
      <c r="I38" s="270"/>
      <c r="J38" s="271"/>
      <c r="K38" s="591"/>
      <c r="L38" s="592"/>
    </row>
    <row r="39" spans="1:22">
      <c r="D39" s="273"/>
      <c r="G39" s="19"/>
      <c r="H39" s="187"/>
      <c r="I39" s="270"/>
      <c r="J39" s="271"/>
      <c r="K39" s="272"/>
    </row>
    <row r="40" spans="1:22">
      <c r="G40" s="19"/>
      <c r="H40" s="187"/>
      <c r="I40" s="270"/>
      <c r="J40" s="271"/>
      <c r="K40" s="147"/>
    </row>
    <row r="41" spans="1:22">
      <c r="G41" s="275"/>
      <c r="H41" s="187"/>
      <c r="I41" s="275"/>
      <c r="J41" s="276"/>
      <c r="K41" s="275"/>
    </row>
    <row r="42" spans="1:22">
      <c r="H42" s="187"/>
    </row>
    <row r="43" spans="1:22">
      <c r="H43" s="187"/>
    </row>
    <row r="44" spans="1:22">
      <c r="H44" s="187"/>
    </row>
    <row r="45" spans="1:22" ht="15.6">
      <c r="D45" s="844"/>
      <c r="E45" s="844"/>
      <c r="H45" s="187"/>
    </row>
    <row r="46" spans="1:22">
      <c r="D46" s="51"/>
      <c r="E46" s="52"/>
      <c r="H46" s="187"/>
    </row>
    <row r="47" spans="1:22">
      <c r="D47" s="216"/>
      <c r="E47" s="53"/>
      <c r="H47" s="190"/>
    </row>
    <row r="48" spans="1:22">
      <c r="D48" s="216"/>
      <c r="E48" s="53"/>
      <c r="G48" s="53"/>
      <c r="H48" s="187"/>
    </row>
    <row r="49" spans="4:8">
      <c r="D49" s="216"/>
      <c r="E49" s="53"/>
      <c r="H49" s="189"/>
    </row>
    <row r="50" spans="4:8">
      <c r="D50" s="216"/>
      <c r="E50" s="53"/>
      <c r="H50" s="187"/>
    </row>
    <row r="51" spans="4:8">
      <c r="D51" s="216"/>
      <c r="E51" s="53"/>
      <c r="H51" s="187"/>
    </row>
    <row r="52" spans="4:8">
      <c r="D52" s="216"/>
      <c r="E52" s="53"/>
    </row>
    <row r="53" spans="4:8">
      <c r="D53" s="216"/>
      <c r="E53" s="53"/>
    </row>
    <row r="54" spans="4:8">
      <c r="D54" s="216"/>
      <c r="E54" s="53"/>
    </row>
    <row r="55" spans="4:8">
      <c r="D55" s="216"/>
      <c r="E55" s="53"/>
    </row>
    <row r="56" spans="4:8">
      <c r="D56" s="216"/>
      <c r="E56" s="53"/>
    </row>
    <row r="57" spans="4:8">
      <c r="D57" s="216"/>
      <c r="E57" s="43"/>
    </row>
    <row r="59" spans="4:8">
      <c r="D59" s="216"/>
    </row>
    <row r="60" spans="4:8">
      <c r="D60" s="217"/>
      <c r="E60" s="54"/>
    </row>
    <row r="61" spans="4:8">
      <c r="D61" s="217"/>
      <c r="E61" s="54"/>
    </row>
    <row r="62" spans="4:8">
      <c r="D62" s="217"/>
      <c r="E62" s="54"/>
    </row>
    <row r="63" spans="4:8">
      <c r="D63" s="218"/>
      <c r="E63" s="55"/>
    </row>
    <row r="64" spans="4:8">
      <c r="D64" s="218"/>
      <c r="E64" s="55"/>
    </row>
    <row r="65" spans="5:5">
      <c r="E65" s="54"/>
    </row>
    <row r="66" spans="5:5">
      <c r="E66" s="54"/>
    </row>
    <row r="67" spans="5:5">
      <c r="E67" s="54"/>
    </row>
    <row r="68" spans="5:5">
      <c r="E68" s="54"/>
    </row>
  </sheetData>
  <mergeCells count="1">
    <mergeCell ref="D45:E45"/>
  </mergeCells>
  <phoneticPr fontId="19" type="noConversion"/>
  <conditionalFormatting sqref="D3:D37">
    <cfRule type="timePeriod" dxfId="126" priority="4" stopIfTrue="1" timePeriod="today">
      <formula>FLOOR(D3,1)=TODAY()</formula>
    </cfRule>
  </conditionalFormatting>
  <conditionalFormatting sqref="F4:F24 F28:F37">
    <cfRule type="cellIs" dxfId="125" priority="22" operator="lessThan">
      <formula>-0.01</formula>
    </cfRule>
  </conditionalFormatting>
  <conditionalFormatting sqref="F4:F486">
    <cfRule type="cellIs" dxfId="124" priority="3" operator="lessThan">
      <formula>-0.00001</formula>
    </cfRule>
  </conditionalFormatting>
  <conditionalFormatting sqref="G5">
    <cfRule type="cellIs" dxfId="123" priority="47" operator="lessThan">
      <formula>-0.01</formula>
    </cfRule>
  </conditionalFormatting>
  <conditionalFormatting sqref="G8">
    <cfRule type="cellIs" dxfId="122" priority="29" operator="lessThan">
      <formula>-0.01</formula>
    </cfRule>
  </conditionalFormatting>
  <conditionalFormatting sqref="G14:G17">
    <cfRule type="cellIs" dxfId="121" priority="2" operator="lessThan">
      <formula>-0.01</formula>
    </cfRule>
  </conditionalFormatting>
  <conditionalFormatting sqref="G28">
    <cfRule type="cellIs" dxfId="120" priority="25" operator="lessThan">
      <formula>-0.01</formula>
    </cfRule>
  </conditionalFormatting>
  <conditionalFormatting sqref="G32">
    <cfRule type="cellIs" dxfId="119" priority="17" operator="lessThan">
      <formula>-0.01</formula>
    </cfRule>
  </conditionalFormatting>
  <conditionalFormatting sqref="G36">
    <cfRule type="cellIs" dxfId="118" priority="6" operator="lessThan">
      <formula>-0.01</formula>
    </cfRule>
  </conditionalFormatting>
  <conditionalFormatting sqref="H5">
    <cfRule type="cellIs" dxfId="117" priority="46" operator="lessThan">
      <formula>-0.01</formula>
    </cfRule>
  </conditionalFormatting>
  <conditionalFormatting sqref="H8">
    <cfRule type="cellIs" dxfId="116" priority="15" operator="lessThan">
      <formula>-0.01</formula>
    </cfRule>
  </conditionalFormatting>
  <conditionalFormatting sqref="H14:H17">
    <cfRule type="cellIs" dxfId="115" priority="1" operator="lessThan">
      <formula>-0.01</formula>
    </cfRule>
  </conditionalFormatting>
  <conditionalFormatting sqref="H19">
    <cfRule type="cellIs" dxfId="114" priority="14" operator="lessThan">
      <formula>-0.01</formula>
    </cfRule>
  </conditionalFormatting>
  <conditionalFormatting sqref="H25">
    <cfRule type="cellIs" dxfId="113" priority="9" operator="lessThan">
      <formula>-0.01</formula>
    </cfRule>
  </conditionalFormatting>
  <conditionalFormatting sqref="H28">
    <cfRule type="cellIs" dxfId="112" priority="13" operator="lessThan">
      <formula>-0.01</formula>
    </cfRule>
  </conditionalFormatting>
  <conditionalFormatting sqref="H32">
    <cfRule type="cellIs" dxfId="111" priority="12" operator="lessThan">
      <formula>-0.01</formula>
    </cfRule>
  </conditionalFormatting>
  <conditionalFormatting sqref="H36">
    <cfRule type="cellIs" dxfId="110" priority="5" operator="lessThan">
      <formula>-0.01</formula>
    </cfRule>
  </conditionalFormatting>
  <conditionalFormatting sqref="I6:I7 I20:I24 I29:I31 I33:I35 I37 I26:I27">
    <cfRule type="cellIs" dxfId="109" priority="222" operator="lessThan">
      <formula>-1</formula>
    </cfRule>
  </conditionalFormatting>
  <conditionalFormatting sqref="L1:L2 G9:H12 F26 L38:L1048576">
    <cfRule type="cellIs" dxfId="108" priority="218" operator="lessThan">
      <formula>-0.01</formula>
    </cfRule>
  </conditionalFormatting>
  <conditionalFormatting sqref="N27:N28">
    <cfRule type="cellIs" dxfId="107" priority="135" operator="lessThan">
      <formula>-1</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B003-22AD-4ACF-A9C8-31A80EE29648}">
  <dimension ref="A1:W67"/>
  <sheetViews>
    <sheetView showGridLines="0" zoomScale="85" zoomScaleNormal="85" workbookViewId="0">
      <pane ySplit="3" topLeftCell="A4" activePane="bottomLeft" state="frozen"/>
      <selection pane="bottomLeft" activeCell="I9" sqref="I9"/>
    </sheetView>
  </sheetViews>
  <sheetFormatPr defaultRowHeight="14.4"/>
  <cols>
    <col min="1" max="1" width="12" style="59" customWidth="1"/>
    <col min="2" max="2" width="14.6640625" style="59" customWidth="1"/>
    <col min="3" max="3" width="32.5546875" style="22" customWidth="1"/>
    <col min="4" max="4" width="9.88671875" style="51" customWidth="1"/>
    <col min="5" max="5" width="18.33203125" style="30" customWidth="1"/>
    <col min="6" max="6" width="25.6640625" style="30" customWidth="1"/>
    <col min="7" max="7" width="15.5546875" customWidth="1"/>
    <col min="8" max="8" width="17.33203125" customWidth="1"/>
    <col min="9" max="9" width="21.5546875" style="9" customWidth="1"/>
    <col min="10" max="10" width="16.88671875" style="18" customWidth="1"/>
    <col min="11" max="11" width="17.109375" style="147" customWidth="1"/>
    <col min="12" max="12" width="16.88671875" customWidth="1"/>
    <col min="13" max="13" width="20.6640625" style="322" customWidth="1"/>
    <col min="14" max="14" width="14" customWidth="1"/>
    <col min="15" max="15" width="0.44140625" customWidth="1"/>
    <col min="16" max="16" width="9.6640625" customWidth="1"/>
    <col min="17" max="17" width="9.88671875" customWidth="1"/>
    <col min="18" max="18" width="12.5546875" customWidth="1"/>
    <col min="19" max="19" width="14.33203125" customWidth="1"/>
    <col min="20" max="20" width="15.33203125" customWidth="1"/>
    <col min="21" max="22" width="11.88671875" customWidth="1"/>
    <col min="25" max="25" width="10.33203125" customWidth="1"/>
    <col min="26" max="26" width="16" customWidth="1"/>
  </cols>
  <sheetData>
    <row r="1" spans="1:18" ht="31.2">
      <c r="A1" s="845" t="s">
        <v>337</v>
      </c>
      <c r="B1" s="845"/>
      <c r="C1" s="845"/>
      <c r="D1" s="845"/>
      <c r="E1" s="845"/>
      <c r="F1" s="845"/>
      <c r="G1" s="845"/>
      <c r="H1" s="845"/>
      <c r="I1" s="845"/>
      <c r="J1" s="845"/>
      <c r="K1" s="681"/>
      <c r="L1" s="681"/>
    </row>
    <row r="2" spans="1:18" ht="23.25" customHeight="1">
      <c r="A2" s="57"/>
      <c r="B2" s="57"/>
      <c r="D2" s="46"/>
      <c r="E2" s="214"/>
      <c r="F2" s="1"/>
      <c r="H2" s="17"/>
      <c r="I2" s="3"/>
      <c r="J2" s="3"/>
      <c r="K2" s="128"/>
    </row>
    <row r="3" spans="1:18" ht="63.75" customHeight="1">
      <c r="A3" s="57" t="s">
        <v>363</v>
      </c>
      <c r="B3" s="57" t="s">
        <v>303</v>
      </c>
      <c r="C3" s="225" t="s">
        <v>0</v>
      </c>
      <c r="D3" s="226" t="s">
        <v>108</v>
      </c>
      <c r="E3" s="227" t="s">
        <v>331</v>
      </c>
      <c r="F3" s="228" t="s">
        <v>114</v>
      </c>
      <c r="G3" s="757" t="s">
        <v>338</v>
      </c>
      <c r="H3" s="229" t="s">
        <v>3</v>
      </c>
      <c r="I3" s="230" t="s">
        <v>4</v>
      </c>
      <c r="J3" s="749" t="s">
        <v>270</v>
      </c>
      <c r="K3" s="232" t="s">
        <v>5</v>
      </c>
      <c r="L3" s="233" t="s">
        <v>117</v>
      </c>
      <c r="M3" s="750" t="s">
        <v>107</v>
      </c>
    </row>
    <row r="4" spans="1:18" ht="21" customHeight="1">
      <c r="A4" s="58"/>
      <c r="B4" s="58" t="s">
        <v>335</v>
      </c>
      <c r="C4" s="699" t="s">
        <v>314</v>
      </c>
      <c r="D4" s="701" t="s">
        <v>315</v>
      </c>
      <c r="E4" s="700"/>
      <c r="F4" s="701"/>
      <c r="G4" s="751"/>
      <c r="H4" s="702"/>
      <c r="I4" s="705"/>
      <c r="J4" s="703"/>
      <c r="K4" s="702"/>
      <c r="L4" s="704"/>
      <c r="M4" s="702"/>
    </row>
    <row r="5" spans="1:18" ht="19.5" customHeight="1">
      <c r="A5" s="58" t="s">
        <v>115</v>
      </c>
      <c r="B5" s="58" t="s">
        <v>335</v>
      </c>
      <c r="C5" s="1" t="s">
        <v>314</v>
      </c>
      <c r="D5" s="47"/>
      <c r="E5" s="113">
        <v>46224</v>
      </c>
      <c r="F5" s="713" t="s">
        <v>316</v>
      </c>
      <c r="G5" s="539">
        <f>Tracking_SI56[[#This Row],[Còn lại so với ĐH]]/Tracking_SI56[[#This Row],[Số  lượng trên ĐH]]</f>
        <v>0</v>
      </c>
      <c r="H5" s="708">
        <v>16200</v>
      </c>
      <c r="I5" s="708">
        <f>SUM(I6:I10)</f>
        <v>16200</v>
      </c>
      <c r="J5" s="165">
        <f>Tracking_SI567[[#This Row],[Số  lượng trên ĐH]]-Tracking_SI567[[#This Row],[Số  lượng giao]]</f>
        <v>0</v>
      </c>
      <c r="K5" s="165"/>
      <c r="L5" s="127" t="s">
        <v>336</v>
      </c>
      <c r="M5" s="24"/>
    </row>
    <row r="6" spans="1:18" s="717" customFormat="1" ht="19.5" customHeight="1">
      <c r="A6" s="709"/>
      <c r="B6" s="710" t="s">
        <v>335</v>
      </c>
      <c r="C6" s="709" t="s">
        <v>314</v>
      </c>
      <c r="D6" s="711"/>
      <c r="E6" s="712">
        <v>46241</v>
      </c>
      <c r="F6" s="713" t="s">
        <v>316</v>
      </c>
      <c r="G6" s="714"/>
      <c r="H6" s="715"/>
      <c r="I6" s="715">
        <v>2270</v>
      </c>
      <c r="J6" s="716"/>
      <c r="K6" s="715"/>
      <c r="L6" s="195" t="s">
        <v>118</v>
      </c>
      <c r="M6" s="713"/>
    </row>
    <row r="7" spans="1:18" s="717" customFormat="1" ht="19.5" customHeight="1">
      <c r="A7" s="709"/>
      <c r="B7" s="710" t="s">
        <v>335</v>
      </c>
      <c r="C7" s="709" t="s">
        <v>314</v>
      </c>
      <c r="D7" s="711"/>
      <c r="E7" s="712">
        <v>46248</v>
      </c>
      <c r="F7" s="713" t="s">
        <v>316</v>
      </c>
      <c r="G7" s="714"/>
      <c r="H7" s="715"/>
      <c r="I7" s="715">
        <v>2840</v>
      </c>
      <c r="J7" s="718"/>
      <c r="K7" s="715"/>
      <c r="L7" s="195" t="s">
        <v>118</v>
      </c>
      <c r="M7" s="713"/>
    </row>
    <row r="8" spans="1:18" s="717" customFormat="1" ht="19.5" customHeight="1">
      <c r="A8" s="709"/>
      <c r="B8" s="710" t="s">
        <v>335</v>
      </c>
      <c r="C8" s="709" t="s">
        <v>314</v>
      </c>
      <c r="D8" s="711"/>
      <c r="E8" s="712">
        <v>46254</v>
      </c>
      <c r="F8" s="713" t="s">
        <v>316</v>
      </c>
      <c r="G8" s="714"/>
      <c r="H8" s="719"/>
      <c r="I8" s="720">
        <v>2279</v>
      </c>
      <c r="J8" s="721"/>
      <c r="K8" s="715"/>
      <c r="L8" s="195" t="s">
        <v>118</v>
      </c>
      <c r="M8" s="713"/>
    </row>
    <row r="9" spans="1:18" s="717" customFormat="1" ht="21" customHeight="1">
      <c r="A9" s="709"/>
      <c r="B9" s="710" t="s">
        <v>335</v>
      </c>
      <c r="C9" s="709" t="s">
        <v>314</v>
      </c>
      <c r="D9" s="722"/>
      <c r="E9" s="712">
        <v>46259</v>
      </c>
      <c r="F9" s="713" t="s">
        <v>316</v>
      </c>
      <c r="G9" s="714"/>
      <c r="H9" s="723"/>
      <c r="I9" s="724">
        <v>6267</v>
      </c>
      <c r="J9" s="716"/>
      <c r="K9" s="715"/>
      <c r="L9" s="195" t="s">
        <v>118</v>
      </c>
      <c r="M9" s="713"/>
    </row>
    <row r="10" spans="1:18" s="717" customFormat="1" ht="21" customHeight="1">
      <c r="A10" s="709"/>
      <c r="B10" s="710" t="s">
        <v>335</v>
      </c>
      <c r="C10" s="709" t="s">
        <v>314</v>
      </c>
      <c r="D10" s="722"/>
      <c r="E10" s="712">
        <v>46268</v>
      </c>
      <c r="F10" s="713" t="s">
        <v>316</v>
      </c>
      <c r="G10" s="714"/>
      <c r="H10" s="723"/>
      <c r="I10" s="724">
        <v>2544</v>
      </c>
      <c r="J10" s="716"/>
      <c r="K10" s="715"/>
      <c r="L10" s="195" t="s">
        <v>118</v>
      </c>
      <c r="M10" s="713"/>
    </row>
    <row r="11" spans="1:18" s="640" customFormat="1" ht="21" customHeight="1">
      <c r="A11" s="58" t="s">
        <v>106</v>
      </c>
      <c r="B11" s="58" t="s">
        <v>332</v>
      </c>
      <c r="C11" s="752" t="s">
        <v>317</v>
      </c>
      <c r="D11" s="762" t="s">
        <v>318</v>
      </c>
      <c r="E11" s="753"/>
      <c r="F11" s="713"/>
      <c r="G11" s="751"/>
      <c r="H11" s="702"/>
      <c r="I11" s="705"/>
      <c r="J11" s="703"/>
      <c r="K11" s="702"/>
      <c r="L11" s="704"/>
      <c r="M11" s="754"/>
    </row>
    <row r="12" spans="1:18" s="7" customFormat="1" ht="21" customHeight="1">
      <c r="A12" s="57" t="s">
        <v>115</v>
      </c>
      <c r="B12" s="58" t="s">
        <v>332</v>
      </c>
      <c r="C12" s="535" t="s">
        <v>317</v>
      </c>
      <c r="D12" s="670"/>
      <c r="E12" s="113">
        <v>46225</v>
      </c>
      <c r="F12" s="713" t="s">
        <v>319</v>
      </c>
      <c r="G12" s="539">
        <f>Tracking_SI567[[#This Row],[Còn lại so với ĐH]]/Tracking_SI567[[#This Row],[Số  lượng trên ĐH]]</f>
        <v>4.4152843112981758E-3</v>
      </c>
      <c r="H12" s="708">
        <v>24234</v>
      </c>
      <c r="I12" s="708">
        <f>SUM(I13:I15)</f>
        <v>24127</v>
      </c>
      <c r="J12" s="165">
        <f>Tracking_SI567[[#This Row],[Số  lượng trên ĐH]]-Tracking_SI567[[#This Row],[Số  lượng giao]]</f>
        <v>107</v>
      </c>
      <c r="K12" s="172"/>
      <c r="L12" s="195" t="s">
        <v>336</v>
      </c>
      <c r="M12" s="26"/>
    </row>
    <row r="13" spans="1:18" s="7" customFormat="1" ht="21" customHeight="1">
      <c r="A13" s="57"/>
      <c r="B13" s="58" t="s">
        <v>332</v>
      </c>
      <c r="C13" s="1" t="s">
        <v>317</v>
      </c>
      <c r="D13" s="152"/>
      <c r="E13" s="116">
        <v>46241</v>
      </c>
      <c r="F13" s="713" t="s">
        <v>319</v>
      </c>
      <c r="G13" s="326"/>
      <c r="H13" s="682"/>
      <c r="I13" s="683">
        <v>9021</v>
      </c>
      <c r="J13" s="354"/>
      <c r="K13" s="344"/>
      <c r="L13" s="195" t="s">
        <v>118</v>
      </c>
      <c r="M13" s="26"/>
    </row>
    <row r="14" spans="1:18" ht="21" customHeight="1">
      <c r="A14" s="57"/>
      <c r="B14" s="58" t="s">
        <v>332</v>
      </c>
      <c r="C14" s="1" t="s">
        <v>317</v>
      </c>
      <c r="D14" s="234"/>
      <c r="E14" s="108">
        <v>46248</v>
      </c>
      <c r="F14" s="713" t="s">
        <v>319</v>
      </c>
      <c r="G14" s="597"/>
      <c r="H14" s="682"/>
      <c r="I14" s="683">
        <v>7963</v>
      </c>
      <c r="J14" s="354"/>
      <c r="K14" s="344"/>
      <c r="L14" s="195" t="s">
        <v>118</v>
      </c>
      <c r="M14" s="26"/>
    </row>
    <row r="15" spans="1:18" ht="21" customHeight="1">
      <c r="A15" s="57"/>
      <c r="B15" s="58" t="s">
        <v>332</v>
      </c>
      <c r="C15" s="1" t="s">
        <v>317</v>
      </c>
      <c r="D15" s="234"/>
      <c r="E15" s="108">
        <v>46254</v>
      </c>
      <c r="F15" s="713" t="s">
        <v>319</v>
      </c>
      <c r="G15" s="597"/>
      <c r="H15" s="682"/>
      <c r="I15" s="683">
        <v>7143</v>
      </c>
      <c r="J15" s="354"/>
      <c r="K15" s="344"/>
      <c r="L15" s="195" t="s">
        <v>118</v>
      </c>
      <c r="M15" s="26"/>
    </row>
    <row r="16" spans="1:18" s="640" customFormat="1" ht="21" customHeight="1">
      <c r="A16" s="58" t="s">
        <v>106</v>
      </c>
      <c r="B16" s="58" t="s">
        <v>333</v>
      </c>
      <c r="C16" s="752" t="s">
        <v>320</v>
      </c>
      <c r="D16" s="762" t="s">
        <v>321</v>
      </c>
      <c r="E16" s="753"/>
      <c r="F16" s="713"/>
      <c r="G16" s="751"/>
      <c r="H16" s="702"/>
      <c r="I16" s="705"/>
      <c r="J16" s="703"/>
      <c r="K16" s="702"/>
      <c r="L16" s="704"/>
      <c r="M16" s="754"/>
      <c r="R16" s="420"/>
    </row>
    <row r="17" spans="1:23" s="7" customFormat="1" ht="21" customHeight="1">
      <c r="A17" s="57" t="s">
        <v>115</v>
      </c>
      <c r="B17" s="58" t="s">
        <v>333</v>
      </c>
      <c r="C17" s="1" t="s">
        <v>320</v>
      </c>
      <c r="D17" s="725"/>
      <c r="E17" s="341">
        <v>46228</v>
      </c>
      <c r="F17" s="713" t="s">
        <v>322</v>
      </c>
      <c r="G17" s="697">
        <f>Tracking_SI567[[#This Row],[Còn lại so với ĐH]]/Tracking_SI567[[#This Row],[Số  lượng trên ĐH]]</f>
        <v>0.16390842152615007</v>
      </c>
      <c r="H17" s="600">
        <v>42237</v>
      </c>
      <c r="I17" s="600">
        <f>SUM(I18:I26)</f>
        <v>35314</v>
      </c>
      <c r="J17" s="343">
        <f>Tracking_SI567[[#This Row],[Số  lượng trên ĐH]]-Tracking_SI567[[#This Row],[Số  lượng giao]]</f>
        <v>6923</v>
      </c>
      <c r="K17" s="307"/>
      <c r="L17" s="641"/>
      <c r="M17" s="26"/>
      <c r="R17" s="420"/>
    </row>
    <row r="18" spans="1:23" ht="21" customHeight="1">
      <c r="A18" s="57"/>
      <c r="B18" s="58" t="s">
        <v>333</v>
      </c>
      <c r="C18" s="1" t="s">
        <v>320</v>
      </c>
      <c r="D18" s="234"/>
      <c r="E18" s="108">
        <v>46259</v>
      </c>
      <c r="F18" s="713" t="s">
        <v>322</v>
      </c>
      <c r="G18" s="597"/>
      <c r="H18" s="682"/>
      <c r="I18" s="683">
        <v>4042</v>
      </c>
      <c r="J18" s="354"/>
      <c r="K18" s="344"/>
      <c r="L18" s="133"/>
      <c r="M18" s="26"/>
      <c r="R18" s="420"/>
    </row>
    <row r="19" spans="1:23" ht="21" customHeight="1">
      <c r="A19" s="57"/>
      <c r="B19" s="58" t="s">
        <v>333</v>
      </c>
      <c r="C19" s="1" t="s">
        <v>320</v>
      </c>
      <c r="D19" s="234"/>
      <c r="E19" s="108">
        <v>46268</v>
      </c>
      <c r="F19" s="713" t="s">
        <v>322</v>
      </c>
      <c r="G19" s="597"/>
      <c r="H19" s="682"/>
      <c r="I19" s="683">
        <v>2308</v>
      </c>
      <c r="J19" s="354"/>
      <c r="K19" s="344"/>
      <c r="L19" s="133"/>
      <c r="M19" s="26"/>
      <c r="R19" s="420"/>
    </row>
    <row r="20" spans="1:23" ht="21" customHeight="1">
      <c r="A20" s="57"/>
      <c r="B20" s="58" t="s">
        <v>333</v>
      </c>
      <c r="C20" s="1" t="s">
        <v>320</v>
      </c>
      <c r="D20" s="46"/>
      <c r="E20" s="108">
        <v>46279</v>
      </c>
      <c r="F20" s="713" t="s">
        <v>322</v>
      </c>
      <c r="G20" s="326"/>
      <c r="H20" s="164"/>
      <c r="I20" s="164">
        <v>13612</v>
      </c>
      <c r="J20" s="354"/>
      <c r="K20" s="164"/>
      <c r="L20" s="131"/>
      <c r="M20" s="26"/>
      <c r="R20" s="420"/>
    </row>
    <row r="21" spans="1:23" ht="21" customHeight="1">
      <c r="A21" s="57" t="s">
        <v>118</v>
      </c>
      <c r="B21" s="58" t="s">
        <v>333</v>
      </c>
      <c r="C21" s="1" t="s">
        <v>320</v>
      </c>
      <c r="D21" s="152"/>
      <c r="E21" s="108">
        <v>46291</v>
      </c>
      <c r="F21" s="713" t="s">
        <v>322</v>
      </c>
      <c r="G21" s="597"/>
      <c r="H21" s="164"/>
      <c r="I21" s="166">
        <v>5256</v>
      </c>
      <c r="J21" s="354"/>
      <c r="K21" s="344"/>
      <c r="L21" s="133"/>
      <c r="M21" s="26"/>
      <c r="R21" s="420"/>
    </row>
    <row r="22" spans="1:23" ht="21" customHeight="1">
      <c r="A22" s="58" t="s">
        <v>106</v>
      </c>
      <c r="B22" s="58" t="s">
        <v>334</v>
      </c>
      <c r="C22" s="684" t="s">
        <v>323</v>
      </c>
      <c r="D22" s="384" t="s">
        <v>324</v>
      </c>
      <c r="E22" s="279"/>
      <c r="F22" s="713"/>
      <c r="G22" s="755"/>
      <c r="H22" s="385"/>
      <c r="I22" s="706"/>
      <c r="J22" s="698"/>
      <c r="K22" s="385"/>
      <c r="L22" s="386"/>
      <c r="M22" s="385"/>
    </row>
    <row r="23" spans="1:23" ht="21" customHeight="1">
      <c r="A23" s="425" t="s">
        <v>115</v>
      </c>
      <c r="B23" s="58" t="s">
        <v>334</v>
      </c>
      <c r="C23" s="425" t="s">
        <v>323</v>
      </c>
      <c r="D23" s="500"/>
      <c r="E23" s="341">
        <v>46255</v>
      </c>
      <c r="F23" s="713" t="s">
        <v>325</v>
      </c>
      <c r="G23" s="697">
        <f>Tracking_SI567[[#This Row],[Còn lại so với ĐH]]/Tracking_SI567[[#This Row],[Số  lượng trên ĐH]]</f>
        <v>0.104170363797693</v>
      </c>
      <c r="H23" s="343">
        <v>5635</v>
      </c>
      <c r="I23" s="600">
        <f>SUM(I24:I26)</f>
        <v>5048</v>
      </c>
      <c r="J23" s="343">
        <f>Tracking_SI567[[#This Row],[Số  lượng trên ĐH]]-Tracking_SI567[[#This Row],[Số  lượng giao]]</f>
        <v>587</v>
      </c>
      <c r="K23" s="343"/>
      <c r="L23" s="356"/>
      <c r="M23" s="45"/>
    </row>
    <row r="24" spans="1:23" ht="21" customHeight="1">
      <c r="A24" s="57"/>
      <c r="B24" s="58" t="s">
        <v>334</v>
      </c>
      <c r="C24" s="1" t="s">
        <v>323</v>
      </c>
      <c r="D24" s="46"/>
      <c r="E24" s="116">
        <v>46272</v>
      </c>
      <c r="F24" s="713" t="s">
        <v>325</v>
      </c>
      <c r="G24" s="326"/>
      <c r="H24" s="166"/>
      <c r="I24" s="166">
        <v>1323</v>
      </c>
      <c r="J24" s="608"/>
      <c r="K24" s="344"/>
      <c r="L24" s="133"/>
      <c r="M24" s="32"/>
    </row>
    <row r="25" spans="1:23" ht="21" customHeight="1">
      <c r="A25" s="57"/>
      <c r="B25" s="58" t="s">
        <v>334</v>
      </c>
      <c r="C25" s="1" t="s">
        <v>323</v>
      </c>
      <c r="D25" s="46"/>
      <c r="E25" s="116">
        <v>46279</v>
      </c>
      <c r="F25" s="713" t="s">
        <v>325</v>
      </c>
      <c r="G25" s="326"/>
      <c r="H25" s="165"/>
      <c r="I25" s="166">
        <v>3725</v>
      </c>
      <c r="J25" s="608"/>
      <c r="K25" s="165"/>
      <c r="L25" s="127"/>
      <c r="M25" s="29"/>
    </row>
    <row r="26" spans="1:23" ht="21" customHeight="1">
      <c r="A26" s="57"/>
      <c r="B26" s="58" t="s">
        <v>334</v>
      </c>
      <c r="C26" s="1" t="s">
        <v>323</v>
      </c>
      <c r="D26" s="152"/>
      <c r="E26" s="116"/>
      <c r="F26" s="713" t="s">
        <v>325</v>
      </c>
      <c r="G26" s="597"/>
      <c r="H26" s="165"/>
      <c r="I26" s="166"/>
      <c r="J26" s="608"/>
      <c r="K26" s="344"/>
      <c r="L26" s="133"/>
      <c r="M26" s="29"/>
    </row>
    <row r="27" spans="1:23" ht="21" customHeight="1">
      <c r="A27" s="57" t="s">
        <v>106</v>
      </c>
      <c r="B27" s="837" t="s">
        <v>357</v>
      </c>
      <c r="C27" s="684" t="s">
        <v>358</v>
      </c>
      <c r="D27" s="384" t="s">
        <v>359</v>
      </c>
      <c r="E27" s="838"/>
      <c r="F27" s="713"/>
      <c r="G27" s="685"/>
      <c r="H27" s="686"/>
      <c r="I27" s="707"/>
      <c r="J27" s="687"/>
      <c r="K27" s="285"/>
      <c r="L27" s="688"/>
      <c r="M27" s="285"/>
    </row>
    <row r="28" spans="1:23" ht="21" customHeight="1">
      <c r="A28" s="57"/>
      <c r="B28" s="837" t="s">
        <v>357</v>
      </c>
      <c r="C28" s="22" t="s">
        <v>358</v>
      </c>
      <c r="D28" s="840"/>
      <c r="E28" s="674">
        <v>46309</v>
      </c>
      <c r="F28" s="713" t="s">
        <v>360</v>
      </c>
      <c r="G28" s="841"/>
      <c r="H28" s="842">
        <v>50000</v>
      </c>
      <c r="I28" s="676" t="e">
        <f>SUM(#REF!)</f>
        <v>#REF!</v>
      </c>
      <c r="J28" s="843"/>
      <c r="K28" s="339"/>
      <c r="L28" s="677"/>
      <c r="M28" s="29"/>
    </row>
    <row r="29" spans="1:23" ht="21" customHeight="1">
      <c r="A29" s="58" t="s">
        <v>106</v>
      </c>
      <c r="B29" s="58" t="s">
        <v>335</v>
      </c>
      <c r="C29" s="839" t="s">
        <v>326</v>
      </c>
      <c r="D29" s="384" t="s">
        <v>327</v>
      </c>
      <c r="E29" s="279"/>
      <c r="F29" s="713"/>
      <c r="G29" s="685"/>
      <c r="H29" s="686"/>
      <c r="I29" s="707"/>
      <c r="J29" s="687"/>
      <c r="K29" s="285"/>
      <c r="L29" s="688"/>
      <c r="M29" s="285"/>
      <c r="O29" s="186"/>
      <c r="Q29" s="133"/>
    </row>
    <row r="30" spans="1:23" ht="21" customHeight="1">
      <c r="A30" s="57" t="s">
        <v>115</v>
      </c>
      <c r="B30" s="58" t="s">
        <v>335</v>
      </c>
      <c r="C30" s="425" t="s">
        <v>326</v>
      </c>
      <c r="D30" s="318"/>
      <c r="E30" s="341">
        <v>46255</v>
      </c>
      <c r="F30" s="713" t="s">
        <v>347</v>
      </c>
      <c r="G30" s="697">
        <f>Tracking_SI567[[#This Row],[Còn lại so với ĐH]]/Tracking_SI567[[#This Row],[Số  lượng trên ĐH]]</f>
        <v>6.7407407407407402E-2</v>
      </c>
      <c r="H30" s="600">
        <v>37800</v>
      </c>
      <c r="I30" s="600">
        <f>SUM(I31:I35)</f>
        <v>35252</v>
      </c>
      <c r="J30" s="343">
        <f>Tracking_SI567[[#This Row],[Số  lượng trên ĐH]]-Tracking_SI567[[#This Row],[Số  lượng giao]]</f>
        <v>2548</v>
      </c>
      <c r="K30" s="622"/>
      <c r="L30" s="193"/>
      <c r="M30" s="32"/>
      <c r="O30" s="186"/>
      <c r="Q30" s="133"/>
    </row>
    <row r="31" spans="1:23" s="18" customFormat="1">
      <c r="A31" s="57"/>
      <c r="B31" s="58" t="s">
        <v>335</v>
      </c>
      <c r="C31" s="1" t="s">
        <v>326</v>
      </c>
      <c r="D31" s="46"/>
      <c r="E31" s="116">
        <v>46268</v>
      </c>
      <c r="F31" s="713" t="s">
        <v>347</v>
      </c>
      <c r="G31" s="326"/>
      <c r="H31" s="166"/>
      <c r="I31" s="166">
        <v>1708</v>
      </c>
      <c r="J31" s="608"/>
      <c r="K31" s="344"/>
      <c r="L31" s="133"/>
      <c r="M31" s="32"/>
      <c r="N31"/>
      <c r="O31"/>
      <c r="P31"/>
      <c r="Q31"/>
      <c r="R31"/>
      <c r="S31"/>
      <c r="T31"/>
      <c r="U31"/>
      <c r="V31"/>
      <c r="W31"/>
    </row>
    <row r="32" spans="1:23" s="18" customFormat="1">
      <c r="A32" s="57"/>
      <c r="B32" s="58" t="s">
        <v>335</v>
      </c>
      <c r="C32" s="1" t="s">
        <v>326</v>
      </c>
      <c r="D32" s="46"/>
      <c r="E32" s="116">
        <v>46272</v>
      </c>
      <c r="F32" s="713" t="s">
        <v>347</v>
      </c>
      <c r="G32" s="326"/>
      <c r="H32" s="166"/>
      <c r="I32" s="166">
        <v>7070</v>
      </c>
      <c r="J32" s="608"/>
      <c r="K32" s="344"/>
      <c r="L32" s="133"/>
      <c r="M32" s="32"/>
      <c r="N32"/>
      <c r="O32"/>
      <c r="P32"/>
      <c r="Q32"/>
      <c r="R32"/>
      <c r="S32"/>
      <c r="T32"/>
      <c r="U32"/>
      <c r="V32"/>
      <c r="W32"/>
    </row>
    <row r="33" spans="1:23" s="18" customFormat="1">
      <c r="A33" s="57"/>
      <c r="B33" s="58" t="s">
        <v>335</v>
      </c>
      <c r="C33" s="1" t="s">
        <v>326</v>
      </c>
      <c r="D33" s="152"/>
      <c r="E33" s="116">
        <v>46279</v>
      </c>
      <c r="F33" s="713" t="s">
        <v>347</v>
      </c>
      <c r="G33" s="597"/>
      <c r="H33" s="166"/>
      <c r="I33" s="166">
        <v>8771</v>
      </c>
      <c r="J33" s="608"/>
      <c r="K33" s="344"/>
      <c r="L33" s="133"/>
      <c r="M33" s="32"/>
      <c r="N33"/>
      <c r="O33"/>
      <c r="P33"/>
      <c r="Q33"/>
      <c r="R33"/>
      <c r="S33"/>
      <c r="T33"/>
      <c r="U33"/>
      <c r="V33"/>
      <c r="W33"/>
    </row>
    <row r="34" spans="1:23">
      <c r="A34" s="57"/>
      <c r="B34" s="58" t="s">
        <v>335</v>
      </c>
      <c r="C34" s="1" t="s">
        <v>326</v>
      </c>
      <c r="D34" s="152"/>
      <c r="E34" s="116">
        <v>46297</v>
      </c>
      <c r="F34" s="713" t="s">
        <v>347</v>
      </c>
      <c r="G34" s="597"/>
      <c r="H34" s="166"/>
      <c r="I34" s="166">
        <v>4833</v>
      </c>
      <c r="J34" s="608"/>
      <c r="K34" s="344"/>
      <c r="L34" s="133"/>
      <c r="M34" s="32"/>
    </row>
    <row r="35" spans="1:23" s="18" customFormat="1">
      <c r="A35" s="57" t="s">
        <v>118</v>
      </c>
      <c r="B35" s="58" t="s">
        <v>335</v>
      </c>
      <c r="C35" s="1" t="s">
        <v>326</v>
      </c>
      <c r="D35" s="152"/>
      <c r="E35" s="116">
        <v>46301</v>
      </c>
      <c r="F35" s="713" t="s">
        <v>347</v>
      </c>
      <c r="G35" s="597"/>
      <c r="H35" s="166"/>
      <c r="I35" s="166">
        <v>12870</v>
      </c>
      <c r="J35" s="608"/>
      <c r="K35" s="344"/>
      <c r="L35" s="133"/>
      <c r="M35" s="32"/>
      <c r="N35"/>
      <c r="O35"/>
      <c r="P35"/>
      <c r="Q35"/>
      <c r="R35"/>
      <c r="S35"/>
      <c r="T35"/>
      <c r="U35"/>
      <c r="V35"/>
      <c r="W35"/>
    </row>
    <row r="36" spans="1:23" s="18" customFormat="1">
      <c r="A36" s="58" t="s">
        <v>106</v>
      </c>
      <c r="B36" s="58" t="s">
        <v>333</v>
      </c>
      <c r="C36" s="684" t="s">
        <v>328</v>
      </c>
      <c r="D36" s="384" t="s">
        <v>329</v>
      </c>
      <c r="E36" s="384"/>
      <c r="F36" s="713"/>
      <c r="G36" s="685"/>
      <c r="H36" s="686"/>
      <c r="I36" s="707"/>
      <c r="J36" s="687"/>
      <c r="K36" s="285"/>
      <c r="L36" s="688"/>
      <c r="M36" s="285"/>
      <c r="N36"/>
      <c r="O36"/>
      <c r="P36"/>
      <c r="Q36"/>
      <c r="R36"/>
      <c r="S36"/>
      <c r="T36"/>
      <c r="U36"/>
      <c r="V36"/>
      <c r="W36"/>
    </row>
    <row r="37" spans="1:23" s="18" customFormat="1">
      <c r="A37" s="57" t="s">
        <v>115</v>
      </c>
      <c r="B37" s="58" t="s">
        <v>333</v>
      </c>
      <c r="C37" s="1" t="s">
        <v>328</v>
      </c>
      <c r="D37" s="318"/>
      <c r="E37" s="341">
        <v>46272</v>
      </c>
      <c r="F37" s="713" t="s">
        <v>330</v>
      </c>
      <c r="G37" s="697" t="e">
        <f>Tracking_SI567[[#This Row],[Còn lại so với ĐH]]/Tracking_SI567[[#This Row],[Số  lượng trên ĐH]]</f>
        <v>#REF!</v>
      </c>
      <c r="H37" s="600">
        <v>20000</v>
      </c>
      <c r="I37" s="600" t="e">
        <f>SUM(#REF!)</f>
        <v>#REF!</v>
      </c>
      <c r="J37" s="343" t="e">
        <f>Tracking_SI567[[#This Row],[Số  lượng trên ĐH]]-Tracking_SI567[[#This Row],[Số  lượng giao]]</f>
        <v>#REF!</v>
      </c>
      <c r="K37" s="622"/>
      <c r="L37" s="193"/>
      <c r="M37" s="32"/>
      <c r="N37"/>
      <c r="O37"/>
      <c r="P37"/>
      <c r="Q37"/>
      <c r="R37"/>
      <c r="S37"/>
      <c r="T37"/>
      <c r="U37"/>
      <c r="V37"/>
      <c r="W37"/>
    </row>
    <row r="38" spans="1:23">
      <c r="A38" s="837" t="s">
        <v>106</v>
      </c>
      <c r="B38" s="837" t="s">
        <v>357</v>
      </c>
      <c r="C38" s="684" t="s">
        <v>358</v>
      </c>
      <c r="D38" s="384" t="s">
        <v>359</v>
      </c>
      <c r="E38" s="838"/>
      <c r="F38" s="685"/>
      <c r="G38" s="685"/>
      <c r="H38" s="686"/>
      <c r="I38" s="707"/>
      <c r="J38" s="687"/>
      <c r="K38" s="285"/>
      <c r="L38" s="688"/>
      <c r="M38" s="285"/>
    </row>
    <row r="39" spans="1:23">
      <c r="H39" s="19"/>
      <c r="I39" s="187"/>
      <c r="J39" s="270"/>
      <c r="K39" s="271"/>
      <c r="L39" s="147"/>
    </row>
    <row r="40" spans="1:23">
      <c r="H40" s="275"/>
      <c r="I40" s="187"/>
      <c r="J40" s="275"/>
      <c r="K40" s="276"/>
      <c r="L40" s="275"/>
    </row>
    <row r="41" spans="1:23">
      <c r="I41" s="187"/>
    </row>
    <row r="42" spans="1:23">
      <c r="I42" s="187"/>
    </row>
    <row r="43" spans="1:23">
      <c r="I43" s="187"/>
    </row>
    <row r="44" spans="1:23" ht="15.6">
      <c r="E44" s="844"/>
      <c r="F44" s="844"/>
      <c r="I44" s="187"/>
    </row>
    <row r="45" spans="1:23">
      <c r="E45" s="51"/>
      <c r="F45" s="52"/>
      <c r="I45" s="187"/>
    </row>
    <row r="46" spans="1:23">
      <c r="E46" s="216"/>
      <c r="F46" s="53"/>
      <c r="I46" s="190"/>
    </row>
    <row r="47" spans="1:23">
      <c r="E47" s="216"/>
      <c r="F47" s="53"/>
      <c r="H47" s="53"/>
      <c r="I47" s="187"/>
    </row>
    <row r="48" spans="1:23">
      <c r="E48" s="216"/>
      <c r="F48" s="53"/>
      <c r="I48" s="189"/>
    </row>
    <row r="49" spans="5:9">
      <c r="E49" s="216"/>
      <c r="F49" s="53"/>
      <c r="I49" s="187"/>
    </row>
    <row r="50" spans="5:9">
      <c r="E50" s="216"/>
      <c r="F50" s="53"/>
      <c r="I50" s="187"/>
    </row>
    <row r="51" spans="5:9">
      <c r="E51" s="216"/>
      <c r="F51" s="53"/>
    </row>
    <row r="52" spans="5:9">
      <c r="E52" s="216"/>
      <c r="F52" s="53"/>
    </row>
    <row r="53" spans="5:9">
      <c r="E53" s="216"/>
      <c r="F53" s="53"/>
    </row>
    <row r="54" spans="5:9">
      <c r="E54" s="216"/>
      <c r="F54" s="53"/>
    </row>
    <row r="55" spans="5:9">
      <c r="E55" s="216"/>
      <c r="F55" s="53"/>
    </row>
    <row r="56" spans="5:9">
      <c r="E56" s="216"/>
      <c r="F56" s="43"/>
    </row>
    <row r="58" spans="5:9">
      <c r="E58" s="216"/>
    </row>
    <row r="59" spans="5:9">
      <c r="E59" s="217"/>
      <c r="F59" s="54"/>
    </row>
    <row r="60" spans="5:9">
      <c r="E60" s="217"/>
      <c r="F60" s="54"/>
    </row>
    <row r="61" spans="5:9">
      <c r="E61" s="217"/>
      <c r="F61" s="54"/>
    </row>
    <row r="62" spans="5:9">
      <c r="E62" s="218"/>
      <c r="F62" s="55"/>
    </row>
    <row r="63" spans="5:9">
      <c r="E63" s="218"/>
      <c r="F63" s="55"/>
    </row>
    <row r="64" spans="5:9">
      <c r="F64" s="54"/>
    </row>
    <row r="65" spans="6:6">
      <c r="F65" s="54"/>
    </row>
    <row r="66" spans="6:6">
      <c r="F66" s="54"/>
    </row>
    <row r="67" spans="6:6">
      <c r="F67" s="54"/>
    </row>
  </sheetData>
  <mergeCells count="2">
    <mergeCell ref="E44:F44"/>
    <mergeCell ref="A1:J1"/>
  </mergeCells>
  <phoneticPr fontId="19" type="noConversion"/>
  <conditionalFormatting sqref="D22 E30:E37">
    <cfRule type="timePeriod" dxfId="106" priority="50" stopIfTrue="1" timePeriod="today">
      <formula>FLOOR(D22,1)=TODAY()</formula>
    </cfRule>
  </conditionalFormatting>
  <conditionalFormatting sqref="D27">
    <cfRule type="timePeriod" dxfId="105" priority="1" stopIfTrue="1" timePeriod="today">
      <formula>FLOOR(D27,1)=TODAY()</formula>
    </cfRule>
  </conditionalFormatting>
  <conditionalFormatting sqref="D29">
    <cfRule type="timePeriod" dxfId="104" priority="24" stopIfTrue="1" timePeriod="today">
      <formula>FLOOR(D29,1)=TODAY()</formula>
    </cfRule>
  </conditionalFormatting>
  <conditionalFormatting sqref="D36">
    <cfRule type="timePeriod" dxfId="103" priority="13" stopIfTrue="1" timePeriod="today">
      <formula>FLOOR(D36,1)=TODAY()</formula>
    </cfRule>
  </conditionalFormatting>
  <conditionalFormatting sqref="D38">
    <cfRule type="timePeriod" dxfId="102" priority="3" stopIfTrue="1" timePeriod="today">
      <formula>FLOOR(D38,1)=TODAY()</formula>
    </cfRule>
  </conditionalFormatting>
  <conditionalFormatting sqref="E3:E21">
    <cfRule type="timePeriod" dxfId="101" priority="14" stopIfTrue="1" timePeriod="today">
      <formula>FLOOR(E3,1)=TODAY()</formula>
    </cfRule>
  </conditionalFormatting>
  <conditionalFormatting sqref="E23:E26 E28">
    <cfRule type="timePeriod" dxfId="100" priority="61" stopIfTrue="1" timePeriod="today">
      <formula>FLOOR(E23,1)=TODAY()</formula>
    </cfRule>
  </conditionalFormatting>
  <conditionalFormatting sqref="F5">
    <cfRule type="timePeriod" dxfId="99" priority="42" stopIfTrue="1" timePeriod="today">
      <formula>FLOOR(F5,1)=TODAY()</formula>
    </cfRule>
  </conditionalFormatting>
  <conditionalFormatting sqref="F12">
    <cfRule type="timePeriod" dxfId="98" priority="34" stopIfTrue="1" timePeriod="today">
      <formula>FLOOR(F12,1)=TODAY()</formula>
    </cfRule>
  </conditionalFormatting>
  <conditionalFormatting sqref="F17">
    <cfRule type="timePeriod" dxfId="97" priority="26" stopIfTrue="1" timePeriod="today">
      <formula>FLOOR(F17,1)=TODAY()</formula>
    </cfRule>
  </conditionalFormatting>
  <conditionalFormatting sqref="F23">
    <cfRule type="timePeriod" dxfId="96" priority="25" stopIfTrue="1" timePeriod="today">
      <formula>FLOOR(F23,1)=TODAY()</formula>
    </cfRule>
  </conditionalFormatting>
  <conditionalFormatting sqref="F30:F35">
    <cfRule type="timePeriod" dxfId="95" priority="12" stopIfTrue="1" timePeriod="today">
      <formula>FLOOR(F30,1)=TODAY()</formula>
    </cfRule>
  </conditionalFormatting>
  <conditionalFormatting sqref="G4:G8 G20:G26">
    <cfRule type="cellIs" dxfId="94" priority="40" operator="lessThan">
      <formula>-0.01</formula>
    </cfRule>
  </conditionalFormatting>
  <conditionalFormatting sqref="G4:G491">
    <cfRule type="cellIs" dxfId="93" priority="5" operator="lessThan">
      <formula>-0.000001</formula>
    </cfRule>
  </conditionalFormatting>
  <conditionalFormatting sqref="G11:G12">
    <cfRule type="cellIs" dxfId="92" priority="6" operator="lessThan">
      <formula>-0.01</formula>
    </cfRule>
  </conditionalFormatting>
  <conditionalFormatting sqref="G17">
    <cfRule type="cellIs" dxfId="91" priority="8" operator="lessThan">
      <formula>-0.01</formula>
    </cfRule>
  </conditionalFormatting>
  <conditionalFormatting sqref="G28">
    <cfRule type="cellIs" dxfId="90" priority="11" operator="lessThan">
      <formula>-0.01</formula>
    </cfRule>
  </conditionalFormatting>
  <conditionalFormatting sqref="G30:G35">
    <cfRule type="cellIs" dxfId="89" priority="10" operator="lessThan">
      <formula>-0.01</formula>
    </cfRule>
  </conditionalFormatting>
  <conditionalFormatting sqref="G37">
    <cfRule type="cellIs" dxfId="88" priority="9" operator="lessThan">
      <formula>-0.01</formula>
    </cfRule>
  </conditionalFormatting>
  <conditionalFormatting sqref="H5">
    <cfRule type="cellIs" dxfId="87" priority="56" operator="lessThan">
      <formula>-0.01</formula>
    </cfRule>
  </conditionalFormatting>
  <conditionalFormatting sqref="H8">
    <cfRule type="cellIs" dxfId="86" priority="53" operator="lessThan">
      <formula>-0.01</formula>
    </cfRule>
  </conditionalFormatting>
  <conditionalFormatting sqref="H12">
    <cfRule type="cellIs" dxfId="85" priority="37" operator="lessThan">
      <formula>-0.01</formula>
    </cfRule>
  </conditionalFormatting>
  <conditionalFormatting sqref="H17">
    <cfRule type="cellIs" dxfId="84" priority="29" operator="lessThan">
      <formula>-0.01</formula>
    </cfRule>
  </conditionalFormatting>
  <conditionalFormatting sqref="H30">
    <cfRule type="cellIs" dxfId="83" priority="51" operator="lessThan">
      <formula>-0.01</formula>
    </cfRule>
  </conditionalFormatting>
  <conditionalFormatting sqref="H37">
    <cfRule type="cellIs" dxfId="82" priority="19" operator="lessThan">
      <formula>-0.01</formula>
    </cfRule>
  </conditionalFormatting>
  <conditionalFormatting sqref="I5">
    <cfRule type="cellIs" dxfId="81" priority="55" operator="lessThan">
      <formula>-0.01</formula>
    </cfRule>
  </conditionalFormatting>
  <conditionalFormatting sqref="I8">
    <cfRule type="cellIs" dxfId="80" priority="46" operator="lessThan">
      <formula>-0.01</formula>
    </cfRule>
  </conditionalFormatting>
  <conditionalFormatting sqref="I12">
    <cfRule type="cellIs" dxfId="79" priority="36" operator="lessThan">
      <formula>-0.01</formula>
    </cfRule>
  </conditionalFormatting>
  <conditionalFormatting sqref="I17">
    <cfRule type="cellIs" dxfId="78" priority="28" operator="lessThan">
      <formula>-0.01</formula>
    </cfRule>
  </conditionalFormatting>
  <conditionalFormatting sqref="I23">
    <cfRule type="cellIs" dxfId="77" priority="45" operator="lessThan">
      <formula>-0.01</formula>
    </cfRule>
  </conditionalFormatting>
  <conditionalFormatting sqref="I30">
    <cfRule type="cellIs" dxfId="76" priority="44" operator="lessThan">
      <formula>-0.01</formula>
    </cfRule>
  </conditionalFormatting>
  <conditionalFormatting sqref="I37">
    <cfRule type="cellIs" dxfId="75" priority="18" operator="lessThan">
      <formula>-0.01</formula>
    </cfRule>
  </conditionalFormatting>
  <conditionalFormatting sqref="J6:J7 J9:J10 J13:J15 J18:J21 J24:J29 J31:J36">
    <cfRule type="cellIs" dxfId="74" priority="60" operator="lessThan">
      <formula>-1</formula>
    </cfRule>
  </conditionalFormatting>
  <conditionalFormatting sqref="J38">
    <cfRule type="cellIs" dxfId="73" priority="4" operator="lessThan">
      <formula>-1</formula>
    </cfRule>
  </conditionalFormatting>
  <conditionalFormatting sqref="M1:M2 G9:I10 G13:I15 G18:I19 M39:M1048576">
    <cfRule type="cellIs" dxfId="72" priority="59" operator="lessThan">
      <formula>-0.01</formula>
    </cfRule>
  </conditionalFormatting>
  <conditionalFormatting sqref="O29:O30">
    <cfRule type="cellIs" dxfId="71" priority="21" operator="lessThan">
      <formula>-1</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D7B5D-FCCC-40B3-AF07-58C917AFA6CA}">
  <dimension ref="A1:W479"/>
  <sheetViews>
    <sheetView showGridLines="0" zoomScale="85" zoomScaleNormal="85" workbookViewId="0">
      <pane ySplit="3" topLeftCell="A318" activePane="bottomLeft" state="frozen"/>
      <selection pane="bottomLeft" activeCell="E454" sqref="E454"/>
    </sheetView>
  </sheetViews>
  <sheetFormatPr defaultRowHeight="14.4"/>
  <cols>
    <col min="1" max="1" width="14.6640625" style="59" customWidth="1"/>
    <col min="2" max="2" width="26.109375" style="22" customWidth="1"/>
    <col min="3" max="3" width="9.88671875" style="51" customWidth="1"/>
    <col min="4" max="4" width="25.88671875" style="30" customWidth="1"/>
    <col min="5" max="5" width="25.88671875" style="737" customWidth="1"/>
    <col min="6" max="6" width="17.33203125" customWidth="1"/>
    <col min="7" max="7" width="15.5546875" customWidth="1"/>
    <col min="8" max="8" width="21.5546875" style="9" customWidth="1"/>
    <col min="9" max="9" width="16.88671875" style="18" customWidth="1"/>
    <col min="10" max="10" width="17.109375" style="147" customWidth="1"/>
    <col min="11" max="11" width="16.88671875" customWidth="1"/>
    <col min="12" max="12" width="20.6640625" style="322" customWidth="1"/>
    <col min="14" max="14" width="14" customWidth="1"/>
    <col min="15" max="15" width="0.44140625" customWidth="1"/>
    <col min="16" max="16" width="9.6640625" customWidth="1"/>
    <col min="17" max="17" width="9.88671875" customWidth="1"/>
    <col min="18" max="18" width="12.5546875" customWidth="1"/>
    <col min="19" max="19" width="14.33203125" customWidth="1"/>
    <col min="20" max="20" width="15.33203125" customWidth="1"/>
    <col min="21" max="22" width="11.88671875" customWidth="1"/>
    <col min="25" max="25" width="10.33203125" customWidth="1"/>
    <col min="26" max="26" width="16" customWidth="1"/>
  </cols>
  <sheetData>
    <row r="1" spans="1:13" ht="31.5" customHeight="1">
      <c r="A1" s="845" t="s">
        <v>134</v>
      </c>
      <c r="B1" s="845"/>
      <c r="C1" s="845"/>
      <c r="D1" s="845"/>
      <c r="E1" s="845"/>
      <c r="F1" s="845"/>
      <c r="G1" s="845"/>
      <c r="H1" s="845"/>
      <c r="I1" s="845"/>
      <c r="J1" s="681"/>
      <c r="K1" s="681"/>
      <c r="L1" s="681"/>
    </row>
    <row r="2" spans="1:13" ht="23.25" customHeight="1">
      <c r="A2" s="845"/>
      <c r="B2" s="845"/>
      <c r="C2" s="845"/>
      <c r="D2" s="845"/>
      <c r="E2" s="845"/>
      <c r="F2" s="845"/>
      <c r="G2" s="845"/>
      <c r="H2" s="845"/>
      <c r="I2" s="845"/>
      <c r="J2" s="681"/>
      <c r="K2" s="681"/>
      <c r="L2" s="681"/>
    </row>
    <row r="3" spans="1:13" ht="63.75" customHeight="1">
      <c r="A3" s="57" t="s">
        <v>363</v>
      </c>
      <c r="B3" s="225" t="s">
        <v>0</v>
      </c>
      <c r="C3" s="226" t="s">
        <v>108</v>
      </c>
      <c r="D3" s="227" t="s">
        <v>1</v>
      </c>
      <c r="E3" s="228" t="s">
        <v>114</v>
      </c>
      <c r="F3" s="229" t="s">
        <v>3</v>
      </c>
      <c r="G3" s="757" t="s">
        <v>340</v>
      </c>
      <c r="H3" s="230" t="s">
        <v>4</v>
      </c>
      <c r="I3" s="231" t="s">
        <v>270</v>
      </c>
      <c r="J3" s="232" t="s">
        <v>5</v>
      </c>
      <c r="K3" s="233" t="s">
        <v>117</v>
      </c>
      <c r="L3" s="328" t="s">
        <v>107</v>
      </c>
      <c r="M3" t="s">
        <v>303</v>
      </c>
    </row>
    <row r="4" spans="1:13" ht="21" customHeight="1">
      <c r="A4" s="58" t="s">
        <v>106</v>
      </c>
      <c r="B4" s="689" t="s">
        <v>294</v>
      </c>
      <c r="C4" s="690" t="s">
        <v>301</v>
      </c>
      <c r="D4" s="691"/>
      <c r="E4" s="692"/>
      <c r="F4" s="694"/>
      <c r="G4" s="695"/>
      <c r="H4" s="694"/>
      <c r="I4" s="695"/>
      <c r="J4" s="694"/>
      <c r="K4" s="696"/>
      <c r="L4" s="694"/>
    </row>
    <row r="5" spans="1:13" ht="19.5" customHeight="1">
      <c r="A5" s="58" t="s">
        <v>115</v>
      </c>
      <c r="B5" s="1" t="s">
        <v>294</v>
      </c>
      <c r="C5" s="47"/>
      <c r="D5" s="215">
        <v>46259</v>
      </c>
      <c r="E5" s="743" t="s">
        <v>293</v>
      </c>
      <c r="F5" s="828">
        <v>15000</v>
      </c>
      <c r="G5" s="326">
        <f>Tracking_SI59[[#This Row],[Còn lại so với ĐH]]/Tracking_SI59[[#This Row],[Số  lượng trên ĐH]]</f>
        <v>0</v>
      </c>
      <c r="H5" s="828">
        <f>SUM(H6:H11)</f>
        <v>15000</v>
      </c>
      <c r="I5" s="295"/>
      <c r="J5" s="349"/>
      <c r="K5" s="639" t="s">
        <v>116</v>
      </c>
      <c r="L5" s="24"/>
    </row>
    <row r="6" spans="1:13" ht="19.5" customHeight="1">
      <c r="A6" s="57"/>
      <c r="B6" s="1" t="s">
        <v>294</v>
      </c>
      <c r="C6" s="46"/>
      <c r="D6" s="108">
        <v>46276</v>
      </c>
      <c r="E6" s="732" t="s">
        <v>293</v>
      </c>
      <c r="F6" s="164"/>
      <c r="G6" s="323"/>
      <c r="H6" s="164">
        <v>2188</v>
      </c>
      <c r="I6" s="295"/>
      <c r="J6" s="164"/>
      <c r="K6" s="833" t="s">
        <v>118</v>
      </c>
      <c r="L6" s="26"/>
    </row>
    <row r="7" spans="1:13" ht="19.5" customHeight="1">
      <c r="A7" s="57"/>
      <c r="B7" s="1" t="s">
        <v>294</v>
      </c>
      <c r="C7" s="46"/>
      <c r="D7" s="108">
        <v>46280</v>
      </c>
      <c r="E7" s="732" t="s">
        <v>293</v>
      </c>
      <c r="F7" s="164"/>
      <c r="G7" s="323"/>
      <c r="H7" s="727">
        <v>3125</v>
      </c>
      <c r="I7" s="295"/>
      <c r="J7" s="164"/>
      <c r="K7" s="833" t="s">
        <v>118</v>
      </c>
      <c r="L7" s="26"/>
    </row>
    <row r="8" spans="1:13" ht="19.5" customHeight="1">
      <c r="A8" s="57"/>
      <c r="B8" s="1" t="s">
        <v>294</v>
      </c>
      <c r="C8" s="46"/>
      <c r="D8" s="108">
        <v>46294</v>
      </c>
      <c r="E8" s="732" t="s">
        <v>293</v>
      </c>
      <c r="F8" s="164"/>
      <c r="G8" s="323"/>
      <c r="H8" s="727">
        <v>1899</v>
      </c>
      <c r="I8" s="295"/>
      <c r="J8" s="164"/>
      <c r="K8" s="833" t="s">
        <v>118</v>
      </c>
      <c r="L8" s="26"/>
    </row>
    <row r="9" spans="1:13" ht="19.5" customHeight="1">
      <c r="A9" s="57"/>
      <c r="B9" s="1" t="s">
        <v>294</v>
      </c>
      <c r="C9" s="46"/>
      <c r="D9" s="108">
        <v>46297</v>
      </c>
      <c r="E9" s="732" t="s">
        <v>293</v>
      </c>
      <c r="F9" s="164"/>
      <c r="G9" s="323"/>
      <c r="H9" s="727">
        <v>2528</v>
      </c>
      <c r="I9" s="295"/>
      <c r="J9" s="164"/>
      <c r="K9" s="833" t="s">
        <v>118</v>
      </c>
      <c r="L9" s="26"/>
    </row>
    <row r="10" spans="1:13" ht="19.5" customHeight="1">
      <c r="A10" s="57"/>
      <c r="B10" s="1" t="s">
        <v>294</v>
      </c>
      <c r="C10" s="46"/>
      <c r="D10" s="108">
        <v>46302</v>
      </c>
      <c r="E10" s="732" t="s">
        <v>293</v>
      </c>
      <c r="F10" s="164"/>
      <c r="G10" s="323"/>
      <c r="H10" s="727">
        <v>4116</v>
      </c>
      <c r="I10" s="295"/>
      <c r="J10" s="164"/>
      <c r="K10" s="833" t="s">
        <v>118</v>
      </c>
      <c r="L10" s="26"/>
    </row>
    <row r="11" spans="1:13" ht="19.5" customHeight="1">
      <c r="A11" s="57"/>
      <c r="B11" s="1" t="s">
        <v>294</v>
      </c>
      <c r="C11" s="46"/>
      <c r="D11" s="108">
        <v>46304</v>
      </c>
      <c r="E11" s="732" t="s">
        <v>293</v>
      </c>
      <c r="F11" s="164"/>
      <c r="G11" s="323"/>
      <c r="H11" s="164">
        <v>1144</v>
      </c>
      <c r="I11" s="295"/>
      <c r="J11" s="164"/>
      <c r="K11" s="833" t="s">
        <v>118</v>
      </c>
      <c r="L11" s="26"/>
    </row>
    <row r="12" spans="1:13" ht="19.5" customHeight="1">
      <c r="A12" s="57" t="s">
        <v>115</v>
      </c>
      <c r="B12" s="1" t="s">
        <v>294</v>
      </c>
      <c r="C12" s="46"/>
      <c r="D12" s="215">
        <v>46282</v>
      </c>
      <c r="E12" s="743" t="s">
        <v>346</v>
      </c>
      <c r="F12" s="828">
        <v>10000</v>
      </c>
      <c r="G12" s="326">
        <f>Tracking_SI59[[#This Row],[Còn lại so với ĐH]]/Tracking_SI59[[#This Row],[Số  lượng trên ĐH]]</f>
        <v>0.35809999999999997</v>
      </c>
      <c r="H12" s="828">
        <f>SUM(H13:H18)</f>
        <v>6419</v>
      </c>
      <c r="I12" s="349">
        <f>Tracking_SI59[[#This Row],[Số  lượng trên ĐH]]-Tracking_SI59[[#This Row],[Số  lượng giao]]</f>
        <v>3581</v>
      </c>
      <c r="J12" s="349"/>
      <c r="K12" s="346"/>
      <c r="L12" s="26"/>
    </row>
    <row r="13" spans="1:13" ht="19.5" customHeight="1">
      <c r="A13" s="57"/>
      <c r="B13" s="1" t="s">
        <v>294</v>
      </c>
      <c r="C13" s="46"/>
      <c r="D13" s="108">
        <v>46304</v>
      </c>
      <c r="E13" s="732" t="s">
        <v>346</v>
      </c>
      <c r="F13" s="164"/>
      <c r="G13" s="323"/>
      <c r="H13" s="164">
        <v>3826</v>
      </c>
      <c r="I13" s="354"/>
      <c r="J13" s="164"/>
      <c r="K13" s="131"/>
      <c r="L13" s="26"/>
    </row>
    <row r="14" spans="1:13" ht="19.5" customHeight="1">
      <c r="A14" s="57" t="s">
        <v>118</v>
      </c>
      <c r="B14" s="1" t="s">
        <v>294</v>
      </c>
      <c r="C14" s="46"/>
      <c r="D14" s="108">
        <v>46308</v>
      </c>
      <c r="E14" s="732" t="s">
        <v>346</v>
      </c>
      <c r="F14" s="164"/>
      <c r="G14" s="323"/>
      <c r="H14" s="164">
        <v>2593</v>
      </c>
      <c r="I14" s="354"/>
      <c r="J14" s="164"/>
      <c r="K14" s="131"/>
      <c r="L14" s="26"/>
    </row>
    <row r="15" spans="1:13" ht="21" customHeight="1">
      <c r="A15" s="58"/>
      <c r="B15" s="1"/>
      <c r="C15" s="62" t="s">
        <v>9</v>
      </c>
      <c r="D15" s="115"/>
      <c r="E15" s="125"/>
      <c r="F15" s="64"/>
      <c r="G15" s="323" t="e">
        <f>Tracking_SI59[[#This Row],[Còn lại so với ĐH]]/Tracking_SI59[[#This Row],[Số  lượng trên ĐH]]</f>
        <v>#DIV/0!</v>
      </c>
      <c r="H15" s="64"/>
      <c r="I15" s="210"/>
      <c r="J15" s="66"/>
      <c r="K15" s="132"/>
      <c r="L15" s="66"/>
    </row>
    <row r="16" spans="1:13" ht="21" customHeight="1">
      <c r="A16" s="57"/>
      <c r="B16" s="1"/>
      <c r="C16" s="46"/>
      <c r="D16" s="111"/>
      <c r="E16" s="25"/>
      <c r="F16" s="163"/>
      <c r="G16" s="326"/>
      <c r="H16" s="163"/>
      <c r="I16" s="607"/>
      <c r="J16" s="163"/>
      <c r="K16" s="130"/>
      <c r="L16" s="29"/>
    </row>
    <row r="17" spans="1:17" s="7" customFormat="1" ht="21" customHeight="1">
      <c r="A17" s="57"/>
      <c r="B17" s="1"/>
      <c r="C17" s="46"/>
      <c r="D17" s="116"/>
      <c r="E17" s="30"/>
      <c r="F17" s="166"/>
      <c r="G17" s="323" t="e">
        <f>Tracking_SI59[[#This Row],[Còn lại so với ĐH]]/Tracking_SI59[[#This Row],[Số  lượng trên ĐH]]</f>
        <v>#DIV/0!</v>
      </c>
      <c r="H17" s="166"/>
      <c r="I17" s="608"/>
      <c r="J17" s="344"/>
      <c r="K17" s="133"/>
      <c r="L17" s="32"/>
    </row>
    <row r="18" spans="1:17" s="7" customFormat="1" ht="21" customHeight="1">
      <c r="A18" s="57"/>
      <c r="B18" s="1"/>
      <c r="C18" s="46"/>
      <c r="D18" s="113"/>
      <c r="E18" s="28"/>
      <c r="F18" s="165"/>
      <c r="G18" s="323" t="e">
        <f>Tracking_SI59[[#This Row],[Còn lại so với ĐH]]/Tracking_SI59[[#This Row],[Số  lượng trên ĐH]]</f>
        <v>#DIV/0!</v>
      </c>
      <c r="H18" s="165"/>
      <c r="I18" s="608"/>
      <c r="J18" s="165"/>
      <c r="K18" s="127"/>
      <c r="L18" s="29"/>
    </row>
    <row r="19" spans="1:17" ht="21" customHeight="1">
      <c r="A19" s="58"/>
      <c r="B19" s="1"/>
      <c r="C19" s="62" t="s">
        <v>11</v>
      </c>
      <c r="D19" s="115"/>
      <c r="E19" s="125"/>
      <c r="F19" s="64"/>
      <c r="G19" s="323" t="e">
        <f>Tracking_SI59[[#This Row],[Còn lại so với ĐH]]/Tracking_SI59[[#This Row],[Số  lượng trên ĐH]]</f>
        <v>#DIV/0!</v>
      </c>
      <c r="H19" s="64"/>
      <c r="I19" s="210"/>
      <c r="J19" s="66"/>
      <c r="K19" s="132"/>
      <c r="L19" s="66"/>
    </row>
    <row r="20" spans="1:17" ht="21" customHeight="1">
      <c r="A20" s="57"/>
      <c r="B20" s="1"/>
      <c r="C20" s="46"/>
      <c r="D20" s="111"/>
      <c r="E20" s="25"/>
      <c r="F20" s="163"/>
      <c r="G20" s="326"/>
      <c r="H20" s="163"/>
      <c r="I20" s="607"/>
      <c r="J20" s="163"/>
      <c r="K20" s="130"/>
      <c r="L20" s="32"/>
    </row>
    <row r="21" spans="1:17" ht="21" customHeight="1">
      <c r="A21" s="57"/>
      <c r="B21" s="1"/>
      <c r="C21" s="46"/>
      <c r="D21" s="116"/>
      <c r="E21" s="27"/>
      <c r="F21" s="166"/>
      <c r="G21" s="326"/>
      <c r="H21" s="166"/>
      <c r="I21" s="608"/>
      <c r="J21" s="344"/>
      <c r="K21" s="133"/>
      <c r="L21" s="32"/>
    </row>
    <row r="22" spans="1:17" ht="21" customHeight="1">
      <c r="A22" s="57"/>
      <c r="B22" s="1"/>
      <c r="C22" s="46"/>
      <c r="D22" s="116"/>
      <c r="E22" s="27"/>
      <c r="F22" s="166"/>
      <c r="G22" s="326"/>
      <c r="H22" s="166"/>
      <c r="I22" s="608"/>
      <c r="J22" s="344"/>
      <c r="K22" s="133"/>
      <c r="L22" s="32"/>
    </row>
    <row r="23" spans="1:17" ht="21" customHeight="1">
      <c r="A23" s="57"/>
      <c r="B23" s="1"/>
      <c r="C23" s="46"/>
      <c r="D23" s="116"/>
      <c r="E23" s="27"/>
      <c r="F23" s="166"/>
      <c r="G23" s="326"/>
      <c r="H23" s="166"/>
      <c r="I23" s="609"/>
      <c r="J23" s="344"/>
      <c r="K23" s="133"/>
      <c r="L23" s="32"/>
    </row>
    <row r="24" spans="1:17" ht="21" customHeight="1">
      <c r="A24" s="58" t="s">
        <v>106</v>
      </c>
      <c r="B24" s="798" t="s">
        <v>296</v>
      </c>
      <c r="C24" s="690" t="s">
        <v>297</v>
      </c>
      <c r="D24" s="691"/>
      <c r="E24" s="799"/>
      <c r="F24" s="800"/>
      <c r="G24" s="801"/>
      <c r="H24" s="800"/>
      <c r="I24" s="801"/>
      <c r="J24" s="802"/>
      <c r="K24" s="803"/>
      <c r="L24" s="802"/>
    </row>
    <row r="25" spans="1:17" ht="21" customHeight="1">
      <c r="A25" s="57" t="s">
        <v>115</v>
      </c>
      <c r="B25" s="1" t="s">
        <v>296</v>
      </c>
      <c r="C25" s="152"/>
      <c r="D25" s="215">
        <v>46270</v>
      </c>
      <c r="E25" s="743" t="s">
        <v>298</v>
      </c>
      <c r="F25" s="828">
        <v>18000</v>
      </c>
      <c r="G25" s="326">
        <f>Tracking_SI59[[#This Row],[Còn lại so với ĐH]]/Tracking_SI59[[#This Row],[Số  lượng trên ĐH]]</f>
        <v>0.26288888888888889</v>
      </c>
      <c r="H25" s="828">
        <f>SUM(H26:H29)</f>
        <v>13268</v>
      </c>
      <c r="I25" s="349">
        <f>Tracking_SI59[[#This Row],[Số  lượng trên ĐH]]-Tracking_SI59[[#This Row],[Số  lượng giao]]</f>
        <v>4732</v>
      </c>
      <c r="J25" s="349"/>
      <c r="K25" s="346"/>
      <c r="L25" s="32"/>
    </row>
    <row r="26" spans="1:17" ht="21" customHeight="1">
      <c r="A26" s="57"/>
      <c r="B26" s="1" t="s">
        <v>296</v>
      </c>
      <c r="C26" s="152"/>
      <c r="D26" s="116">
        <v>46280</v>
      </c>
      <c r="E26" s="734" t="s">
        <v>298</v>
      </c>
      <c r="F26" s="31"/>
      <c r="G26" s="326"/>
      <c r="H26" s="728">
        <v>4972</v>
      </c>
      <c r="I26" s="185"/>
      <c r="J26" s="32"/>
      <c r="K26" s="133"/>
      <c r="L26" s="32"/>
    </row>
    <row r="27" spans="1:17" ht="21" customHeight="1">
      <c r="A27" s="758"/>
      <c r="B27" s="1" t="s">
        <v>296</v>
      </c>
      <c r="C27" s="152"/>
      <c r="D27" s="116">
        <v>46283</v>
      </c>
      <c r="E27" s="735" t="s">
        <v>298</v>
      </c>
      <c r="F27" s="31"/>
      <c r="G27" s="326"/>
      <c r="H27" s="164">
        <v>2983</v>
      </c>
      <c r="I27" s="185"/>
      <c r="J27" s="32"/>
      <c r="K27" s="133"/>
      <c r="L27" s="32"/>
    </row>
    <row r="28" spans="1:17" ht="21" customHeight="1">
      <c r="A28" s="57" t="s">
        <v>118</v>
      </c>
      <c r="B28" s="1" t="s">
        <v>296</v>
      </c>
      <c r="C28" s="152"/>
      <c r="D28" s="116">
        <v>46287</v>
      </c>
      <c r="E28" s="735" t="s">
        <v>298</v>
      </c>
      <c r="F28" s="31"/>
      <c r="G28" s="326"/>
      <c r="H28" s="31">
        <v>5313</v>
      </c>
      <c r="I28" s="185"/>
      <c r="J28" s="32"/>
      <c r="K28" s="133"/>
      <c r="L28" s="32"/>
    </row>
    <row r="29" spans="1:17" ht="21" customHeight="1">
      <c r="A29" s="57"/>
      <c r="B29" s="1" t="s">
        <v>296</v>
      </c>
      <c r="C29" s="152"/>
      <c r="D29" s="116"/>
      <c r="E29" s="735" t="s">
        <v>298</v>
      </c>
      <c r="F29" s="31"/>
      <c r="G29" s="326"/>
      <c r="H29" s="31"/>
      <c r="I29" s="185"/>
      <c r="J29" s="32"/>
      <c r="K29" s="133"/>
      <c r="L29" s="32"/>
    </row>
    <row r="30" spans="1:17" ht="21" customHeight="1">
      <c r="A30" s="58" t="s">
        <v>106</v>
      </c>
      <c r="B30" s="804" t="s">
        <v>122</v>
      </c>
      <c r="C30" s="690" t="s">
        <v>126</v>
      </c>
      <c r="D30" s="691"/>
      <c r="E30" s="805"/>
      <c r="F30" s="800"/>
      <c r="G30" s="693" t="e">
        <f>Tracking_SI59[[#This Row],[Còn lại so với ĐH]]/Tracking_SI59[[#This Row],[Số  lượng trên ĐH]]</f>
        <v>#DIV/0!</v>
      </c>
      <c r="H30" s="800"/>
      <c r="I30" s="806"/>
      <c r="J30" s="802"/>
      <c r="K30" s="803"/>
      <c r="L30" s="802"/>
    </row>
    <row r="31" spans="1:17" ht="21" customHeight="1">
      <c r="A31" s="57"/>
      <c r="B31" s="1" t="s">
        <v>122</v>
      </c>
      <c r="C31" s="46"/>
      <c r="D31" s="341">
        <v>46086</v>
      </c>
      <c r="E31" s="342" t="s">
        <v>212</v>
      </c>
      <c r="F31" s="600">
        <v>16000</v>
      </c>
      <c r="G31" s="323">
        <f>Tracking_SI59[[#This Row],[Còn lại so với ĐH]]/Tracking_SI59[[#This Row],[Số  lượng trên ĐH]]</f>
        <v>3.4062500000000002E-2</v>
      </c>
      <c r="H31" s="600">
        <f>SUM(H32:H41)</f>
        <v>15455</v>
      </c>
      <c r="I31" s="343">
        <f>Tracking_SI59[[#This Row],[Số  lượng trên ĐH]]-Tracking_SI59[[#This Row],[Số  lượng giao]]</f>
        <v>545</v>
      </c>
      <c r="J31" s="343"/>
      <c r="K31" s="356" t="s">
        <v>116</v>
      </c>
      <c r="L31" s="32"/>
    </row>
    <row r="32" spans="1:17" ht="21" customHeight="1">
      <c r="A32" s="57"/>
      <c r="B32" s="1" t="s">
        <v>122</v>
      </c>
      <c r="C32" s="46"/>
      <c r="D32" s="108" t="s">
        <v>262</v>
      </c>
      <c r="E32" s="27" t="s">
        <v>212</v>
      </c>
      <c r="F32" s="166"/>
      <c r="G32" s="31" t="e">
        <f>Tracking_SI59[[#This Row],[Còn lại so với ĐH]]/Tracking_SI59[[#This Row],[Số  lượng trên ĐH]]</f>
        <v>#DIV/0!</v>
      </c>
      <c r="H32" s="637">
        <v>2063</v>
      </c>
      <c r="I32" s="344"/>
      <c r="J32" s="610"/>
      <c r="K32" s="108" t="s">
        <v>118</v>
      </c>
      <c r="L32" s="27"/>
      <c r="N32" s="166"/>
      <c r="O32" s="186"/>
      <c r="P32" s="32"/>
      <c r="Q32" s="133"/>
    </row>
    <row r="33" spans="1:17" ht="21" customHeight="1">
      <c r="A33" s="57"/>
      <c r="B33" s="1" t="s">
        <v>122</v>
      </c>
      <c r="C33" s="152"/>
      <c r="D33" s="108">
        <v>46141</v>
      </c>
      <c r="E33" s="27" t="s">
        <v>212</v>
      </c>
      <c r="F33" s="166"/>
      <c r="G33" s="31" t="e">
        <f>Tracking_SI59[[#This Row],[Còn lại so với ĐH]]/Tracking_SI59[[#This Row],[Số  lượng trên ĐH]]</f>
        <v>#DIV/0!</v>
      </c>
      <c r="H33" s="637">
        <v>3239</v>
      </c>
      <c r="I33" s="344"/>
      <c r="J33" s="610"/>
      <c r="K33" s="108" t="s">
        <v>118</v>
      </c>
      <c r="L33" s="27"/>
      <c r="N33" s="166"/>
      <c r="O33" s="186"/>
      <c r="P33" s="32"/>
      <c r="Q33" s="133"/>
    </row>
    <row r="34" spans="1:17" ht="21" customHeight="1">
      <c r="A34" s="57"/>
      <c r="B34" s="1" t="s">
        <v>122</v>
      </c>
      <c r="C34" s="152"/>
      <c r="D34" s="108">
        <v>46148</v>
      </c>
      <c r="E34" s="27" t="s">
        <v>212</v>
      </c>
      <c r="F34" s="166"/>
      <c r="G34" s="31" t="e">
        <f>Tracking_SI59[[#This Row],[Còn lại so với ĐH]]/Tracking_SI59[[#This Row],[Số  lượng trên ĐH]]</f>
        <v>#DIV/0!</v>
      </c>
      <c r="H34" s="637">
        <v>1069</v>
      </c>
      <c r="I34" s="344"/>
      <c r="J34" s="610"/>
      <c r="K34" s="108" t="s">
        <v>118</v>
      </c>
      <c r="L34" s="27"/>
      <c r="N34" s="166"/>
      <c r="O34" s="186"/>
      <c r="P34" s="32"/>
      <c r="Q34" s="133"/>
    </row>
    <row r="35" spans="1:17" ht="21" customHeight="1">
      <c r="A35" s="57"/>
      <c r="B35" s="1" t="s">
        <v>122</v>
      </c>
      <c r="C35" s="152"/>
      <c r="D35" s="108">
        <v>46151</v>
      </c>
      <c r="E35" s="27" t="s">
        <v>212</v>
      </c>
      <c r="F35" s="166"/>
      <c r="G35" s="31" t="e">
        <f>Tracking_SI59[[#This Row],[Còn lại so với ĐH]]/Tracking_SI59[[#This Row],[Số  lượng trên ĐH]]</f>
        <v>#DIV/0!</v>
      </c>
      <c r="H35" s="637">
        <v>905</v>
      </c>
      <c r="I35" s="344"/>
      <c r="J35" s="610"/>
      <c r="K35" s="108" t="s">
        <v>118</v>
      </c>
      <c r="L35" s="27"/>
      <c r="N35" s="166"/>
      <c r="O35" s="186"/>
      <c r="P35" s="32"/>
      <c r="Q35" s="133"/>
    </row>
    <row r="36" spans="1:17" ht="21" customHeight="1">
      <c r="A36" s="57"/>
      <c r="B36" s="1" t="s">
        <v>122</v>
      </c>
      <c r="C36" s="152"/>
      <c r="D36" s="108">
        <v>46153</v>
      </c>
      <c r="E36" s="27" t="s">
        <v>212</v>
      </c>
      <c r="F36" s="166"/>
      <c r="G36" s="31" t="e">
        <f>Tracking_SI59[[#This Row],[Còn lại so với ĐH]]/Tracking_SI59[[#This Row],[Số  lượng trên ĐH]]</f>
        <v>#DIV/0!</v>
      </c>
      <c r="H36" s="637">
        <v>913</v>
      </c>
      <c r="I36" s="344"/>
      <c r="J36" s="610"/>
      <c r="K36" s="108" t="s">
        <v>118</v>
      </c>
      <c r="L36" s="27"/>
      <c r="N36" s="166"/>
      <c r="O36" s="186"/>
      <c r="P36" s="32"/>
      <c r="Q36" s="133"/>
    </row>
    <row r="37" spans="1:17" ht="21" customHeight="1">
      <c r="A37" s="57"/>
      <c r="B37" s="1" t="s">
        <v>122</v>
      </c>
      <c r="C37" s="152"/>
      <c r="D37" s="108">
        <v>46157</v>
      </c>
      <c r="E37" s="27" t="s">
        <v>212</v>
      </c>
      <c r="F37" s="166"/>
      <c r="G37" s="31" t="e">
        <f>Tracking_SI59[[#This Row],[Còn lại so với ĐH]]/Tracking_SI59[[#This Row],[Số  lượng trên ĐH]]</f>
        <v>#DIV/0!</v>
      </c>
      <c r="H37" s="637">
        <v>1375</v>
      </c>
      <c r="I37" s="344"/>
      <c r="J37" s="610"/>
      <c r="K37" s="108" t="s">
        <v>118</v>
      </c>
      <c r="L37" s="27"/>
      <c r="N37" s="166"/>
      <c r="O37" s="186"/>
      <c r="P37" s="32"/>
      <c r="Q37" s="133"/>
    </row>
    <row r="38" spans="1:17" ht="21" customHeight="1">
      <c r="A38" s="57"/>
      <c r="B38" s="1" t="s">
        <v>122</v>
      </c>
      <c r="C38" s="152"/>
      <c r="D38" s="108">
        <v>46161</v>
      </c>
      <c r="E38" s="27" t="s">
        <v>212</v>
      </c>
      <c r="F38" s="166"/>
      <c r="G38" s="31" t="e">
        <f>Tracking_SI59[[#This Row],[Còn lại so với ĐH]]/Tracking_SI59[[#This Row],[Số  lượng trên ĐH]]</f>
        <v>#DIV/0!</v>
      </c>
      <c r="H38" s="554">
        <v>919</v>
      </c>
      <c r="I38" s="344"/>
      <c r="J38" s="610"/>
      <c r="K38" s="108" t="s">
        <v>118</v>
      </c>
      <c r="L38" s="27"/>
      <c r="N38" s="166"/>
      <c r="O38" s="186"/>
      <c r="P38" s="32"/>
      <c r="Q38" s="133"/>
    </row>
    <row r="39" spans="1:17" s="640" customFormat="1" ht="21" customHeight="1">
      <c r="A39" s="58"/>
      <c r="B39" s="1" t="s">
        <v>122</v>
      </c>
      <c r="C39" s="312"/>
      <c r="D39" s="108">
        <v>46168</v>
      </c>
      <c r="E39" s="27" t="s">
        <v>212</v>
      </c>
      <c r="F39" s="309"/>
      <c r="G39" s="435" t="e">
        <f>Tracking_SI59[[#This Row],[Còn lại so với ĐH]]/Tracking_SI59[[#This Row],[Số  lượng trên ĐH]]</f>
        <v>#DIV/0!</v>
      </c>
      <c r="H39" s="166">
        <v>2124</v>
      </c>
      <c r="I39" s="349"/>
      <c r="J39" s="639"/>
      <c r="K39" s="108" t="s">
        <v>118</v>
      </c>
      <c r="L39" s="56"/>
      <c r="N39" s="638"/>
      <c r="O39" s="186"/>
      <c r="P39" s="45"/>
      <c r="Q39" s="346"/>
    </row>
    <row r="40" spans="1:17" ht="21" customHeight="1">
      <c r="A40" s="57"/>
      <c r="B40" s="1" t="s">
        <v>122</v>
      </c>
      <c r="C40" s="152"/>
      <c r="D40" s="108">
        <v>46258</v>
      </c>
      <c r="E40" s="27" t="s">
        <v>212</v>
      </c>
      <c r="F40" s="166"/>
      <c r="G40" s="31" t="e">
        <f>Tracking_SI59[[#This Row],[Còn lại so với ĐH]]/Tracking_SI59[[#This Row],[Số  lượng trên ĐH]]</f>
        <v>#DIV/0!</v>
      </c>
      <c r="H40" s="637">
        <v>2848</v>
      </c>
      <c r="I40" s="344"/>
      <c r="J40" s="610"/>
      <c r="K40" s="108" t="s">
        <v>118</v>
      </c>
      <c r="L40" s="27"/>
      <c r="N40" s="166"/>
      <c r="O40" s="186"/>
      <c r="P40" s="32"/>
      <c r="Q40" s="133"/>
    </row>
    <row r="41" spans="1:17" ht="21" customHeight="1">
      <c r="A41" s="57"/>
      <c r="B41" s="1" t="s">
        <v>122</v>
      </c>
      <c r="C41" s="152"/>
      <c r="D41" s="108"/>
      <c r="E41" s="27" t="s">
        <v>212</v>
      </c>
      <c r="F41" s="166"/>
      <c r="G41" s="31" t="e">
        <f>Tracking_SI59[[#This Row],[Còn lại so với ĐH]]/Tracking_SI59[[#This Row],[Số  lượng trên ĐH]]</f>
        <v>#DIV/0!</v>
      </c>
      <c r="H41" s="637"/>
      <c r="I41" s="344"/>
      <c r="J41" s="610"/>
      <c r="K41" s="108" t="s">
        <v>118</v>
      </c>
      <c r="L41" s="27"/>
      <c r="N41" s="166"/>
      <c r="O41" s="186"/>
      <c r="P41" s="32"/>
      <c r="Q41" s="133"/>
    </row>
    <row r="42" spans="1:17" ht="21" customHeight="1">
      <c r="A42" s="57" t="s">
        <v>115</v>
      </c>
      <c r="B42" s="1" t="s">
        <v>122</v>
      </c>
      <c r="C42" s="152"/>
      <c r="D42" s="341">
        <v>46140</v>
      </c>
      <c r="E42" s="342" t="s">
        <v>263</v>
      </c>
      <c r="F42" s="600">
        <v>15000</v>
      </c>
      <c r="G42" s="676">
        <f>Tracking_SI59[[#This Row],[Còn lại so với ĐH]]/Tracking_SI59[[#This Row],[Số  lượng trên ĐH]]</f>
        <v>0.2198</v>
      </c>
      <c r="H42" s="600">
        <f>SUM(H43:H49)</f>
        <v>11703</v>
      </c>
      <c r="I42" s="343">
        <f>Tracking_SI59[[#This Row],[Số  lượng trên ĐH]]-Tracking_SI59[[#This Row],[Số  lượng giao]]</f>
        <v>3297</v>
      </c>
      <c r="J42" s="343">
        <v>48200</v>
      </c>
      <c r="K42" s="346"/>
      <c r="L42" s="27"/>
      <c r="N42" s="166"/>
      <c r="O42" s="186"/>
      <c r="P42" s="32"/>
      <c r="Q42" s="133"/>
    </row>
    <row r="43" spans="1:17" ht="21" customHeight="1">
      <c r="A43" s="57"/>
      <c r="B43" s="1" t="s">
        <v>122</v>
      </c>
      <c r="C43" s="152"/>
      <c r="D43" s="108">
        <v>46308</v>
      </c>
      <c r="E43" s="27" t="s">
        <v>263</v>
      </c>
      <c r="F43" s="166"/>
      <c r="G43" s="326" t="e">
        <f>Tracking_SI59[[#This Row],[Còn lại so với ĐH]]/Tracking_SI59[[#This Row],[Số  lượng trên ĐH]]</f>
        <v>#DIV/0!</v>
      </c>
      <c r="H43" s="166">
        <v>1093</v>
      </c>
      <c r="I43" s="354"/>
      <c r="J43" s="344"/>
      <c r="K43" s="133"/>
      <c r="L43" s="32"/>
    </row>
    <row r="44" spans="1:17" ht="21" customHeight="1">
      <c r="A44" s="57"/>
      <c r="B44" s="1" t="s">
        <v>122</v>
      </c>
      <c r="C44" s="152"/>
      <c r="D44" s="108">
        <v>46311</v>
      </c>
      <c r="E44" s="27" t="s">
        <v>263</v>
      </c>
      <c r="F44" s="166"/>
      <c r="G44" s="326" t="e">
        <f>Tracking_SI59[[#This Row],[Còn lại so với ĐH]]/Tracking_SI59[[#This Row],[Số  lượng trên ĐH]]</f>
        <v>#DIV/0!</v>
      </c>
      <c r="H44" s="166">
        <v>3205</v>
      </c>
      <c r="I44" s="354"/>
      <c r="J44" s="344"/>
      <c r="K44" s="133"/>
      <c r="L44" s="32"/>
    </row>
    <row r="45" spans="1:17" ht="21" customHeight="1">
      <c r="A45" s="57"/>
      <c r="B45" s="1" t="s">
        <v>122</v>
      </c>
      <c r="C45" s="152"/>
      <c r="D45" s="108">
        <v>46315</v>
      </c>
      <c r="E45" s="27" t="s">
        <v>263</v>
      </c>
      <c r="F45" s="166"/>
      <c r="G45" s="326" t="e">
        <f>Tracking_SI59[[#This Row],[Còn lại so với ĐH]]/Tracking_SI59[[#This Row],[Số  lượng trên ĐH]]</f>
        <v>#DIV/0!</v>
      </c>
      <c r="H45" s="166">
        <v>1993</v>
      </c>
      <c r="I45" s="354"/>
      <c r="J45" s="344"/>
      <c r="K45" s="133"/>
      <c r="L45" s="32"/>
    </row>
    <row r="46" spans="1:17" ht="21" customHeight="1">
      <c r="A46" s="57"/>
      <c r="B46" s="1" t="s">
        <v>122</v>
      </c>
      <c r="C46" s="46"/>
      <c r="D46" s="108">
        <v>46317</v>
      </c>
      <c r="E46" s="27" t="s">
        <v>263</v>
      </c>
      <c r="F46" s="166"/>
      <c r="G46" s="323" t="e">
        <f>Tracking_SI59[[#This Row],[Còn lại so với ĐH]]/Tracking_SI59[[#This Row],[Số  lượng trên ĐH]]</f>
        <v>#DIV/0!</v>
      </c>
      <c r="H46" s="164">
        <v>1987</v>
      </c>
      <c r="I46" s="354"/>
      <c r="J46" s="344"/>
      <c r="K46" s="133"/>
      <c r="L46" s="32"/>
    </row>
    <row r="47" spans="1:17" ht="21" customHeight="1">
      <c r="A47" s="57" t="s">
        <v>118</v>
      </c>
      <c r="B47" s="1" t="s">
        <v>122</v>
      </c>
      <c r="C47" s="152"/>
      <c r="D47" s="108">
        <v>46323</v>
      </c>
      <c r="E47" s="27" t="s">
        <v>263</v>
      </c>
      <c r="F47" s="31"/>
      <c r="G47" s="763"/>
      <c r="H47" s="31">
        <v>3425</v>
      </c>
      <c r="I47" s="186"/>
      <c r="J47" s="32"/>
      <c r="K47" s="133"/>
      <c r="L47" s="32"/>
      <c r="M47" s="326"/>
    </row>
    <row r="48" spans="1:17" ht="21" customHeight="1">
      <c r="A48" s="57"/>
      <c r="B48" s="1" t="s">
        <v>122</v>
      </c>
      <c r="C48" s="152"/>
      <c r="D48" s="108"/>
      <c r="E48" s="27" t="s">
        <v>263</v>
      </c>
      <c r="F48" s="31"/>
      <c r="G48" s="763"/>
      <c r="H48" s="31"/>
      <c r="I48" s="186"/>
      <c r="J48" s="32"/>
      <c r="K48" s="133"/>
      <c r="L48" s="32"/>
      <c r="M48" s="326"/>
    </row>
    <row r="49" spans="1:13" ht="21" customHeight="1">
      <c r="A49" s="57"/>
      <c r="B49" s="1" t="s">
        <v>122</v>
      </c>
      <c r="C49" s="152"/>
      <c r="D49" s="108"/>
      <c r="E49" s="27" t="s">
        <v>263</v>
      </c>
      <c r="F49" s="31"/>
      <c r="G49" s="763"/>
      <c r="H49" s="31"/>
      <c r="I49" s="186"/>
      <c r="J49" s="32"/>
      <c r="K49" s="133"/>
      <c r="L49" s="32"/>
      <c r="M49" s="326"/>
    </row>
    <row r="50" spans="1:13" ht="21" customHeight="1">
      <c r="A50" s="57"/>
      <c r="B50" s="1" t="s">
        <v>122</v>
      </c>
      <c r="C50" s="152"/>
      <c r="D50" s="341">
        <v>46314</v>
      </c>
      <c r="E50" s="342" t="s">
        <v>361</v>
      </c>
      <c r="F50" s="600">
        <v>5000</v>
      </c>
      <c r="G50" s="676">
        <f>Tracking_SI59[[#This Row],[Còn lại so với ĐH]]/Tracking_SI59[[#This Row],[Số  lượng trên ĐH]]</f>
        <v>1</v>
      </c>
      <c r="H50" s="600">
        <f>SUM(H51:H54)</f>
        <v>0</v>
      </c>
      <c r="I50" s="343">
        <f>Tracking_SI59[[#This Row],[Số  lượng trên ĐH]]-Tracking_SI59[[#This Row],[Số  lượng giao]]</f>
        <v>5000</v>
      </c>
      <c r="J50" s="343"/>
      <c r="K50" s="133"/>
      <c r="L50" s="32"/>
      <c r="M50" s="326"/>
    </row>
    <row r="51" spans="1:13" ht="21" customHeight="1">
      <c r="A51" s="57"/>
      <c r="B51" s="1" t="s">
        <v>122</v>
      </c>
      <c r="C51" s="152"/>
      <c r="D51" s="108"/>
      <c r="E51" s="27"/>
      <c r="F51" s="31"/>
      <c r="G51" s="763"/>
      <c r="H51" s="31"/>
      <c r="I51" s="186"/>
      <c r="J51" s="32"/>
      <c r="K51" s="133"/>
      <c r="L51" s="32"/>
      <c r="M51" s="326"/>
    </row>
    <row r="52" spans="1:13" ht="21" customHeight="1">
      <c r="A52" s="57"/>
      <c r="B52" s="1" t="s">
        <v>122</v>
      </c>
      <c r="C52" s="152"/>
      <c r="D52" s="108"/>
      <c r="E52" s="27"/>
      <c r="F52" s="31"/>
      <c r="G52" s="763"/>
      <c r="H52" s="31"/>
      <c r="I52" s="186"/>
      <c r="J52" s="32"/>
      <c r="K52" s="133"/>
      <c r="L52" s="32"/>
      <c r="M52" s="326"/>
    </row>
    <row r="53" spans="1:13" ht="21" customHeight="1">
      <c r="A53" s="57"/>
      <c r="B53" s="1" t="s">
        <v>122</v>
      </c>
      <c r="C53" s="152"/>
      <c r="D53" s="108"/>
      <c r="E53" s="27"/>
      <c r="F53" s="31"/>
      <c r="G53" s="763"/>
      <c r="H53" s="31"/>
      <c r="I53" s="186"/>
      <c r="J53" s="32"/>
      <c r="K53" s="133"/>
      <c r="L53" s="32"/>
      <c r="M53" s="326"/>
    </row>
    <row r="54" spans="1:13" ht="21" customHeight="1">
      <c r="A54" s="57"/>
      <c r="B54" s="1" t="s">
        <v>122</v>
      </c>
      <c r="C54" s="152"/>
      <c r="D54" s="108"/>
      <c r="E54" s="27"/>
      <c r="F54" s="31"/>
      <c r="G54" s="763"/>
      <c r="H54" s="31"/>
      <c r="I54" s="186"/>
      <c r="J54" s="32"/>
      <c r="K54" s="133"/>
      <c r="L54" s="32"/>
      <c r="M54" s="326"/>
    </row>
    <row r="55" spans="1:13" ht="21" customHeight="1">
      <c r="A55" s="58"/>
      <c r="B55" s="1" t="s">
        <v>200</v>
      </c>
      <c r="C55" s="62" t="s">
        <v>199</v>
      </c>
      <c r="D55" s="125"/>
      <c r="E55" s="125"/>
      <c r="F55" s="64"/>
      <c r="G55" s="323" t="e">
        <f>Tracking_SI59[[#This Row],[Còn lại so với ĐH]]/Tracking_SI59[[#This Row],[Số  lượng trên ĐH]]</f>
        <v>#DIV/0!</v>
      </c>
      <c r="H55" s="219"/>
      <c r="I55" s="210"/>
      <c r="J55" s="66"/>
      <c r="K55" s="132"/>
      <c r="L55" s="66"/>
    </row>
    <row r="56" spans="1:13" ht="21" customHeight="1">
      <c r="A56" s="58"/>
      <c r="B56" s="1" t="s">
        <v>200</v>
      </c>
      <c r="C56" s="152"/>
      <c r="D56" s="341"/>
      <c r="E56" s="342"/>
      <c r="F56" s="600"/>
      <c r="G56" s="326"/>
      <c r="H56" s="343"/>
      <c r="I56" s="343"/>
      <c r="J56" s="601"/>
      <c r="K56" s="356"/>
      <c r="L56" s="24"/>
    </row>
    <row r="57" spans="1:13" ht="21" customHeight="1">
      <c r="A57" s="57"/>
      <c r="B57" s="1" t="s">
        <v>200</v>
      </c>
      <c r="C57" s="46"/>
      <c r="D57" s="108"/>
      <c r="E57" s="27"/>
      <c r="F57" s="164"/>
      <c r="G57" s="326"/>
      <c r="H57" s="164"/>
      <c r="I57" s="608"/>
      <c r="J57" s="164"/>
      <c r="K57" s="131"/>
      <c r="L57" s="26"/>
    </row>
    <row r="58" spans="1:13" ht="21" customHeight="1">
      <c r="A58" s="57"/>
      <c r="B58" s="1" t="s">
        <v>200</v>
      </c>
      <c r="C58" s="46"/>
      <c r="D58" s="108"/>
      <c r="E58" s="27"/>
      <c r="F58" s="164"/>
      <c r="G58" s="326"/>
      <c r="H58" s="164"/>
      <c r="I58" s="608"/>
      <c r="J58" s="164"/>
      <c r="K58" s="131"/>
      <c r="L58" s="26"/>
    </row>
    <row r="59" spans="1:13" ht="21" customHeight="1">
      <c r="A59" s="57"/>
      <c r="B59" s="1" t="s">
        <v>200</v>
      </c>
      <c r="C59" s="46"/>
      <c r="D59" s="108"/>
      <c r="E59" s="381"/>
      <c r="F59" s="164"/>
      <c r="G59" s="326"/>
      <c r="H59" s="382"/>
      <c r="I59" s="608"/>
      <c r="J59" s="164"/>
      <c r="K59" s="131"/>
      <c r="L59" s="26"/>
    </row>
    <row r="60" spans="1:13" ht="21" customHeight="1">
      <c r="A60" s="58"/>
      <c r="B60" s="1" t="s">
        <v>200</v>
      </c>
      <c r="C60" s="46"/>
      <c r="D60" s="111"/>
      <c r="E60" s="25"/>
      <c r="F60" s="163"/>
      <c r="G60" s="326"/>
      <c r="H60" s="164"/>
      <c r="I60" s="607"/>
      <c r="J60" s="163"/>
      <c r="K60" s="127"/>
      <c r="L60" s="24"/>
    </row>
    <row r="61" spans="1:13" ht="21" customHeight="1">
      <c r="A61" s="57"/>
      <c r="B61" s="1" t="s">
        <v>200</v>
      </c>
      <c r="C61" s="46"/>
      <c r="D61" s="108"/>
      <c r="E61" s="381"/>
      <c r="F61" s="164"/>
      <c r="G61" s="326"/>
      <c r="H61" s="382"/>
      <c r="I61" s="608"/>
      <c r="J61" s="164"/>
      <c r="K61" s="131"/>
      <c r="L61" s="26"/>
    </row>
    <row r="62" spans="1:13" ht="21" customHeight="1">
      <c r="A62" s="57"/>
      <c r="B62" s="1" t="s">
        <v>200</v>
      </c>
      <c r="C62" s="46"/>
      <c r="D62" s="359"/>
      <c r="E62" s="348"/>
      <c r="F62" s="349"/>
      <c r="G62" s="326"/>
      <c r="H62" s="344"/>
      <c r="I62" s="611"/>
      <c r="J62" s="164"/>
      <c r="K62" s="133"/>
      <c r="L62" s="26"/>
    </row>
    <row r="63" spans="1:13" ht="21" customHeight="1">
      <c r="A63" s="57"/>
      <c r="B63" s="1" t="s">
        <v>200</v>
      </c>
      <c r="C63" s="152"/>
      <c r="D63" s="108"/>
      <c r="E63" s="27"/>
      <c r="F63" s="164"/>
      <c r="G63" s="326"/>
      <c r="H63" s="164"/>
      <c r="I63" s="609"/>
      <c r="J63" s="344"/>
      <c r="K63" s="133"/>
      <c r="L63" s="26"/>
    </row>
    <row r="64" spans="1:13" ht="21" customHeight="1">
      <c r="A64" s="57"/>
      <c r="B64" s="1" t="s">
        <v>200</v>
      </c>
      <c r="C64" s="152"/>
      <c r="D64" s="108"/>
      <c r="E64" s="27"/>
      <c r="F64" s="164"/>
      <c r="G64" s="326"/>
      <c r="H64" s="164"/>
      <c r="I64" s="609"/>
      <c r="J64" s="344"/>
      <c r="K64" s="133"/>
      <c r="L64" s="26"/>
    </row>
    <row r="65" spans="1:12" ht="21" customHeight="1">
      <c r="A65" s="57"/>
      <c r="B65" s="1" t="s">
        <v>200</v>
      </c>
      <c r="C65" s="152"/>
      <c r="D65" s="108"/>
      <c r="E65" s="27"/>
      <c r="F65" s="164"/>
      <c r="G65" s="326"/>
      <c r="H65" s="164"/>
      <c r="I65" s="609"/>
      <c r="J65" s="344"/>
      <c r="K65" s="133"/>
      <c r="L65" s="26"/>
    </row>
    <row r="66" spans="1:12" ht="21" customHeight="1">
      <c r="A66" s="57"/>
      <c r="B66" s="1" t="s">
        <v>200</v>
      </c>
      <c r="C66" s="152"/>
      <c r="D66" s="108"/>
      <c r="E66" s="27"/>
      <c r="F66" s="164"/>
      <c r="G66" s="326"/>
      <c r="H66" s="164"/>
      <c r="I66" s="609"/>
      <c r="J66" s="344"/>
      <c r="K66" s="133"/>
      <c r="L66" s="26"/>
    </row>
    <row r="67" spans="1:12" ht="21" customHeight="1">
      <c r="A67" s="57"/>
      <c r="B67" s="1" t="s">
        <v>200</v>
      </c>
      <c r="C67" s="152"/>
      <c r="D67" s="108"/>
      <c r="E67" s="27"/>
      <c r="F67" s="164"/>
      <c r="G67" s="326"/>
      <c r="H67" s="164"/>
      <c r="I67" s="609"/>
      <c r="J67" s="344"/>
      <c r="K67" s="133"/>
      <c r="L67" s="26"/>
    </row>
    <row r="68" spans="1:12" ht="21" customHeight="1">
      <c r="A68" s="57"/>
      <c r="B68" s="1" t="s">
        <v>200</v>
      </c>
      <c r="C68" s="152"/>
      <c r="D68" s="108"/>
      <c r="E68" s="27"/>
      <c r="F68" s="164"/>
      <c r="G68" s="326"/>
      <c r="H68" s="164"/>
      <c r="I68" s="609"/>
      <c r="J68" s="344"/>
      <c r="K68" s="133"/>
      <c r="L68" s="26"/>
    </row>
    <row r="69" spans="1:12" ht="21" customHeight="1">
      <c r="A69" s="57"/>
      <c r="B69" s="1" t="s">
        <v>200</v>
      </c>
      <c r="C69" s="152"/>
      <c r="D69" s="108"/>
      <c r="E69" s="27"/>
      <c r="F69" s="164"/>
      <c r="G69" s="326"/>
      <c r="H69" s="164"/>
      <c r="I69" s="609"/>
      <c r="J69" s="344"/>
      <c r="K69" s="133"/>
      <c r="L69" s="26"/>
    </row>
    <row r="70" spans="1:12" ht="21" customHeight="1">
      <c r="A70" s="58"/>
      <c r="B70" s="1"/>
      <c r="C70" s="62" t="s">
        <v>23</v>
      </c>
      <c r="D70" s="125"/>
      <c r="E70" s="125"/>
      <c r="F70" s="64"/>
      <c r="G70" s="323" t="e">
        <f>Tracking_SI59[[#This Row],[Còn lại so với ĐH]]/Tracking_SI59[[#This Row],[Số  lượng trên ĐH]]</f>
        <v>#DIV/0!</v>
      </c>
      <c r="H70" s="219"/>
      <c r="I70" s="211"/>
      <c r="J70" s="66"/>
      <c r="K70" s="132"/>
      <c r="L70" s="66"/>
    </row>
    <row r="71" spans="1:12" ht="21" customHeight="1">
      <c r="A71" s="58"/>
      <c r="B71" s="1"/>
      <c r="C71" s="46"/>
      <c r="D71" s="111"/>
      <c r="E71" s="25"/>
      <c r="F71" s="163"/>
      <c r="G71" s="326"/>
      <c r="H71" s="164"/>
      <c r="I71" s="605"/>
      <c r="J71" s="163"/>
      <c r="K71" s="127"/>
      <c r="L71" s="24"/>
    </row>
    <row r="72" spans="1:12" ht="21" customHeight="1">
      <c r="A72" s="57"/>
      <c r="B72" s="1"/>
      <c r="C72" s="46"/>
      <c r="D72" s="108"/>
      <c r="E72" s="27"/>
      <c r="F72" s="164"/>
      <c r="G72" s="323" t="e">
        <f>Tracking_SI59[[#This Row],[Còn lại so với ĐH]]/Tracking_SI59[[#This Row],[Số  lượng trên ĐH]]</f>
        <v>#DIV/0!</v>
      </c>
      <c r="H72" s="164"/>
      <c r="I72" s="606"/>
      <c r="J72" s="344"/>
      <c r="K72" s="133"/>
      <c r="L72" s="32"/>
    </row>
    <row r="73" spans="1:12" ht="21" customHeight="1">
      <c r="A73" s="57"/>
      <c r="B73" s="1"/>
      <c r="C73" s="46"/>
      <c r="D73" s="108"/>
      <c r="E73" s="27"/>
      <c r="F73" s="164"/>
      <c r="G73" s="323" t="e">
        <f>Tracking_SI59[[#This Row],[Còn lại so với ĐH]]/Tracking_SI59[[#This Row],[Số  lượng trên ĐH]]</f>
        <v>#DIV/0!</v>
      </c>
      <c r="H73" s="164"/>
      <c r="I73" s="354"/>
      <c r="J73" s="344"/>
      <c r="K73" s="133"/>
      <c r="L73" s="32"/>
    </row>
    <row r="74" spans="1:12" ht="21" customHeight="1">
      <c r="A74" s="57"/>
      <c r="B74" s="1"/>
      <c r="C74" s="46"/>
      <c r="D74" s="108"/>
      <c r="E74" s="27"/>
      <c r="F74" s="164"/>
      <c r="G74" s="323" t="e">
        <f>Tracking_SI59[[#This Row],[Còn lại so với ĐH]]/Tracking_SI59[[#This Row],[Số  lượng trên ĐH]]</f>
        <v>#DIV/0!</v>
      </c>
      <c r="H74" s="164"/>
      <c r="I74" s="354"/>
      <c r="J74" s="344"/>
      <c r="K74" s="133"/>
      <c r="L74" s="32"/>
    </row>
    <row r="75" spans="1:12" ht="21" customHeight="1">
      <c r="A75" s="57"/>
      <c r="B75" s="1"/>
      <c r="C75" s="46"/>
      <c r="D75" s="108"/>
      <c r="E75" s="27"/>
      <c r="F75" s="164"/>
      <c r="G75" s="323" t="e">
        <f>Tracking_SI59[[#This Row],[Còn lại so với ĐH]]/Tracking_SI59[[#This Row],[Số  lượng trên ĐH]]</f>
        <v>#DIV/0!</v>
      </c>
      <c r="H75" s="164"/>
      <c r="I75" s="606"/>
      <c r="J75" s="344"/>
      <c r="K75" s="133"/>
      <c r="L75" s="32"/>
    </row>
    <row r="76" spans="1:12" ht="21" customHeight="1">
      <c r="A76" s="57"/>
      <c r="B76" s="1"/>
      <c r="C76" s="46"/>
      <c r="D76" s="108"/>
      <c r="E76" s="27"/>
      <c r="F76" s="164"/>
      <c r="G76" s="323" t="e">
        <f>Tracking_SI59[[#This Row],[Còn lại so với ĐH]]/Tracking_SI59[[#This Row],[Số  lượng trên ĐH]]</f>
        <v>#DIV/0!</v>
      </c>
      <c r="H76" s="164"/>
      <c r="I76" s="608"/>
      <c r="J76" s="344"/>
      <c r="K76" s="133"/>
      <c r="L76" s="32"/>
    </row>
    <row r="77" spans="1:12" ht="21" customHeight="1">
      <c r="A77" s="58"/>
      <c r="B77" s="1"/>
      <c r="C77" s="62" t="s">
        <v>25</v>
      </c>
      <c r="D77" s="125"/>
      <c r="E77" s="69"/>
      <c r="F77" s="68"/>
      <c r="G77" s="323" t="e">
        <f>Tracking_SI59[[#This Row],[Còn lại so với ĐH]]/Tracking_SI59[[#This Row],[Số  lượng trên ĐH]]</f>
        <v>#DIV/0!</v>
      </c>
      <c r="H77" s="219"/>
      <c r="I77" s="210"/>
      <c r="J77" s="66"/>
      <c r="K77" s="132"/>
      <c r="L77" s="66"/>
    </row>
    <row r="78" spans="1:12" ht="21" customHeight="1">
      <c r="A78" s="57"/>
      <c r="B78" s="1"/>
      <c r="C78" s="46"/>
      <c r="D78" s="108"/>
      <c r="E78" s="27"/>
      <c r="F78" s="167"/>
      <c r="G78" s="323" t="e">
        <f>Tracking_SI59[[#This Row],[Còn lại so với ĐH]]/Tracking_SI59[[#This Row],[Số  lượng trên ĐH]]</f>
        <v>#DIV/0!</v>
      </c>
      <c r="H78" s="164"/>
      <c r="I78" s="608"/>
      <c r="J78" s="167"/>
      <c r="K78" s="134"/>
      <c r="L78" s="35"/>
    </row>
    <row r="79" spans="1:12" ht="21" customHeight="1">
      <c r="A79" s="57"/>
      <c r="B79" s="1"/>
      <c r="C79" s="46"/>
      <c r="D79" s="108"/>
      <c r="E79" s="27"/>
      <c r="F79" s="167"/>
      <c r="G79" s="323" t="e">
        <f>Tracking_SI59[[#This Row],[Còn lại so với ĐH]]/Tracking_SI59[[#This Row],[Số  lượng trên ĐH]]</f>
        <v>#DIV/0!</v>
      </c>
      <c r="H79" s="164"/>
      <c r="I79" s="608"/>
      <c r="J79" s="167"/>
      <c r="K79" s="134"/>
      <c r="L79" s="35"/>
    </row>
    <row r="80" spans="1:12" ht="21" customHeight="1">
      <c r="A80" s="58"/>
      <c r="B80" s="1"/>
      <c r="C80" s="62" t="s">
        <v>26</v>
      </c>
      <c r="D80" s="125"/>
      <c r="E80" s="126"/>
      <c r="F80" s="71"/>
      <c r="G80" s="323" t="e">
        <f>Tracking_SI59[[#This Row],[Còn lại so với ĐH]]/Tracking_SI59[[#This Row],[Số  lượng trên ĐH]]</f>
        <v>#DIV/0!</v>
      </c>
      <c r="H80" s="219"/>
      <c r="I80" s="210"/>
      <c r="J80" s="71"/>
      <c r="K80" s="135"/>
      <c r="L80" s="66"/>
    </row>
    <row r="81" spans="1:12" ht="21" customHeight="1">
      <c r="A81" s="57"/>
      <c r="B81" s="1"/>
      <c r="C81" s="46"/>
      <c r="D81" s="111"/>
      <c r="E81" s="25"/>
      <c r="F81" s="163"/>
      <c r="G81" s="323" t="e">
        <f>Tracking_SI59[[#This Row],[Còn lại so với ĐH]]/Tracking_SI59[[#This Row],[Số  lượng trên ĐH]]</f>
        <v>#DIV/0!</v>
      </c>
      <c r="H81" s="164"/>
      <c r="I81" s="607">
        <f>F81-H81</f>
        <v>0</v>
      </c>
      <c r="J81" s="163"/>
      <c r="K81" s="130"/>
      <c r="L81" s="24"/>
    </row>
    <row r="82" spans="1:12" ht="21" customHeight="1">
      <c r="A82" s="57"/>
      <c r="B82" s="1"/>
      <c r="C82" s="46"/>
      <c r="D82" s="108"/>
      <c r="E82" s="27"/>
      <c r="F82" s="167"/>
      <c r="G82" s="323" t="e">
        <f>Tracking_SI59[[#This Row],[Còn lại so với ĐH]]/Tracking_SI59[[#This Row],[Số  lượng trên ĐH]]</f>
        <v>#DIV/0!</v>
      </c>
      <c r="H82" s="164"/>
      <c r="I82" s="608"/>
      <c r="J82" s="167"/>
      <c r="K82" s="134"/>
      <c r="L82" s="35"/>
    </row>
    <row r="83" spans="1:12" ht="21" customHeight="1">
      <c r="A83" s="58"/>
      <c r="B83" s="1" t="s">
        <v>27</v>
      </c>
      <c r="C83" s="62" t="s">
        <v>109</v>
      </c>
      <c r="D83" s="125"/>
      <c r="E83" s="126"/>
      <c r="F83" s="71"/>
      <c r="G83" s="323" t="e">
        <f>Tracking_SI59[[#This Row],[Còn lại so với ĐH]]/Tracking_SI59[[#This Row],[Số  lượng trên ĐH]]</f>
        <v>#DIV/0!</v>
      </c>
      <c r="H83" s="552"/>
      <c r="I83" s="209"/>
      <c r="J83" s="71"/>
      <c r="K83" s="135"/>
      <c r="L83" s="66"/>
    </row>
    <row r="84" spans="1:12" ht="21" customHeight="1">
      <c r="A84" s="57"/>
      <c r="B84" s="1" t="s">
        <v>27</v>
      </c>
      <c r="C84" s="109"/>
      <c r="D84" s="341">
        <v>46083</v>
      </c>
      <c r="E84" s="342" t="s">
        <v>211</v>
      </c>
      <c r="F84" s="343">
        <v>6000</v>
      </c>
      <c r="G84" s="323">
        <f>Tracking_SI59[[#This Row],[Còn lại so với ĐH]]/Tracking_SI59[[#This Row],[Số  lượng trên ĐH]]</f>
        <v>0</v>
      </c>
      <c r="H84" s="343">
        <f>SUM(H85:H93)</f>
        <v>6000</v>
      </c>
      <c r="I84" s="343">
        <f>Tracking_SI59[[#This Row],[Số  lượng trên ĐH]]-Tracking_SI59[[#This Row],[Số  lượng giao]]</f>
        <v>0</v>
      </c>
      <c r="J84" s="343"/>
      <c r="K84" s="356" t="s">
        <v>116</v>
      </c>
      <c r="L84" s="35"/>
    </row>
    <row r="85" spans="1:12" ht="21" customHeight="1">
      <c r="A85" s="57"/>
      <c r="B85" s="1" t="s">
        <v>27</v>
      </c>
      <c r="C85" s="109"/>
      <c r="D85" s="108">
        <v>46129</v>
      </c>
      <c r="E85" s="27" t="s">
        <v>211</v>
      </c>
      <c r="F85" s="167"/>
      <c r="G85" s="323" t="e">
        <f>Tracking_SI59[[#This Row],[Còn lại so với ĐH]]/Tracking_SI59[[#This Row],[Số  lượng trên ĐH]]</f>
        <v>#DIV/0!</v>
      </c>
      <c r="H85" s="164">
        <v>1105</v>
      </c>
      <c r="I85" s="354"/>
      <c r="J85" s="167"/>
      <c r="K85" s="134" t="s">
        <v>118</v>
      </c>
      <c r="L85" s="35"/>
    </row>
    <row r="86" spans="1:12" ht="21" customHeight="1">
      <c r="A86" s="57"/>
      <c r="B86" s="1" t="s">
        <v>27</v>
      </c>
      <c r="C86" s="109"/>
      <c r="D86" s="108">
        <v>46153</v>
      </c>
      <c r="E86" s="27" t="s">
        <v>211</v>
      </c>
      <c r="F86" s="167"/>
      <c r="G86" s="323" t="e">
        <f>Tracking_SI59[[#This Row],[Còn lại so với ĐH]]/Tracking_SI59[[#This Row],[Số  lượng trên ĐH]]</f>
        <v>#DIV/0!</v>
      </c>
      <c r="H86" s="164">
        <v>4895</v>
      </c>
      <c r="I86" s="354"/>
      <c r="J86" s="167"/>
      <c r="K86" s="134" t="s">
        <v>118</v>
      </c>
      <c r="L86" s="35"/>
    </row>
    <row r="87" spans="1:12" ht="21" customHeight="1">
      <c r="A87" s="57"/>
      <c r="B87" s="1" t="s">
        <v>27</v>
      </c>
      <c r="C87" s="109"/>
      <c r="D87" s="108"/>
      <c r="E87" s="27" t="s">
        <v>211</v>
      </c>
      <c r="F87" s="167"/>
      <c r="G87" s="323" t="e">
        <f>Tracking_SI59[[#This Row],[Còn lại so với ĐH]]/Tracking_SI59[[#This Row],[Số  lượng trên ĐH]]</f>
        <v>#DIV/0!</v>
      </c>
      <c r="H87" s="164"/>
      <c r="I87" s="354"/>
      <c r="J87" s="167"/>
      <c r="K87" s="134"/>
      <c r="L87" s="35"/>
    </row>
    <row r="88" spans="1:12" ht="21" customHeight="1">
      <c r="A88" s="57"/>
      <c r="B88" s="1" t="s">
        <v>27</v>
      </c>
      <c r="C88" s="109"/>
      <c r="D88" s="108"/>
      <c r="E88" s="27" t="s">
        <v>211</v>
      </c>
      <c r="F88" s="167"/>
      <c r="G88" s="323" t="e">
        <f>Tracking_SI59[[#This Row],[Còn lại so với ĐH]]/Tracking_SI59[[#This Row],[Số  lượng trên ĐH]]</f>
        <v>#DIV/0!</v>
      </c>
      <c r="H88" s="164"/>
      <c r="I88" s="354"/>
      <c r="J88" s="167"/>
      <c r="K88" s="134"/>
      <c r="L88" s="35"/>
    </row>
    <row r="89" spans="1:12" ht="21" customHeight="1">
      <c r="A89" s="57"/>
      <c r="B89" s="1" t="s">
        <v>27</v>
      </c>
      <c r="C89" s="109"/>
      <c r="D89" s="108"/>
      <c r="E89" s="27" t="s">
        <v>211</v>
      </c>
      <c r="F89" s="167"/>
      <c r="G89" s="323" t="e">
        <f>Tracking_SI59[[#This Row],[Còn lại so với ĐH]]/Tracking_SI59[[#This Row],[Số  lượng trên ĐH]]</f>
        <v>#DIV/0!</v>
      </c>
      <c r="H89" s="164"/>
      <c r="I89" s="354"/>
      <c r="J89" s="167"/>
      <c r="K89" s="134"/>
      <c r="L89" s="35"/>
    </row>
    <row r="90" spans="1:12" ht="21" customHeight="1">
      <c r="A90" s="57"/>
      <c r="B90" s="1" t="s">
        <v>27</v>
      </c>
      <c r="C90" s="109"/>
      <c r="D90" s="108"/>
      <c r="E90" s="27" t="s">
        <v>211</v>
      </c>
      <c r="F90" s="167"/>
      <c r="G90" s="323" t="e">
        <f>Tracking_SI59[[#This Row],[Còn lại so với ĐH]]/Tracking_SI59[[#This Row],[Số  lượng trên ĐH]]</f>
        <v>#DIV/0!</v>
      </c>
      <c r="H90" s="164"/>
      <c r="I90" s="354"/>
      <c r="J90" s="167"/>
      <c r="K90" s="134"/>
      <c r="L90" s="35"/>
    </row>
    <row r="91" spans="1:12" ht="21" customHeight="1">
      <c r="A91" s="57"/>
      <c r="B91" s="1" t="s">
        <v>27</v>
      </c>
      <c r="C91" s="109"/>
      <c r="D91" s="108"/>
      <c r="E91" s="27" t="s">
        <v>211</v>
      </c>
      <c r="F91" s="167"/>
      <c r="G91" s="323" t="e">
        <f>Tracking_SI59[[#This Row],[Còn lại so với ĐH]]/Tracking_SI59[[#This Row],[Số  lượng trên ĐH]]</f>
        <v>#DIV/0!</v>
      </c>
      <c r="H91" s="164"/>
      <c r="I91" s="354"/>
      <c r="J91" s="167"/>
      <c r="K91" s="134"/>
      <c r="L91" s="35"/>
    </row>
    <row r="92" spans="1:12" ht="21" customHeight="1">
      <c r="A92" s="57"/>
      <c r="B92" s="1" t="s">
        <v>27</v>
      </c>
      <c r="C92" s="109"/>
      <c r="D92" s="108"/>
      <c r="E92" s="27" t="s">
        <v>211</v>
      </c>
      <c r="F92" s="167"/>
      <c r="G92" s="323" t="e">
        <f>Tracking_SI59[[#This Row],[Còn lại so với ĐH]]/Tracking_SI59[[#This Row],[Số  lượng trên ĐH]]</f>
        <v>#DIV/0!</v>
      </c>
      <c r="H92" s="164"/>
      <c r="I92" s="354"/>
      <c r="J92" s="167"/>
      <c r="K92" s="134"/>
      <c r="L92" s="35"/>
    </row>
    <row r="93" spans="1:12" ht="21" customHeight="1">
      <c r="A93" s="57"/>
      <c r="B93" s="1" t="s">
        <v>27</v>
      </c>
      <c r="C93" s="109"/>
      <c r="D93" s="108"/>
      <c r="E93" s="27" t="s">
        <v>211</v>
      </c>
      <c r="F93" s="167"/>
      <c r="G93" s="323" t="e">
        <f>Tracking_SI59[[#This Row],[Còn lại so với ĐH]]/Tracking_SI59[[#This Row],[Số  lượng trên ĐH]]</f>
        <v>#DIV/0!</v>
      </c>
      <c r="H93" s="164"/>
      <c r="I93" s="606"/>
      <c r="J93" s="167"/>
      <c r="K93" s="134"/>
      <c r="L93" s="35"/>
    </row>
    <row r="94" spans="1:12" ht="21" customHeight="1">
      <c r="A94" s="58" t="s">
        <v>106</v>
      </c>
      <c r="B94" s="804" t="s">
        <v>269</v>
      </c>
      <c r="C94" s="690" t="s">
        <v>268</v>
      </c>
      <c r="D94" s="807"/>
      <c r="E94" s="808"/>
      <c r="F94" s="809"/>
      <c r="G94" s="693" t="e">
        <f>Tracking_SI59[[#This Row],[Còn lại so với ĐH]]/Tracking_SI59[[#This Row],[Số  lượng trên ĐH]]</f>
        <v>#DIV/0!</v>
      </c>
      <c r="H94" s="810"/>
      <c r="I94" s="811"/>
      <c r="J94" s="809"/>
      <c r="K94" s="812"/>
      <c r="L94" s="802"/>
    </row>
    <row r="95" spans="1:12" ht="21" customHeight="1">
      <c r="A95" s="58" t="s">
        <v>115</v>
      </c>
      <c r="B95" s="1" t="s">
        <v>269</v>
      </c>
      <c r="C95" s="46"/>
      <c r="D95" s="215">
        <v>46144</v>
      </c>
      <c r="E95" s="348" t="s">
        <v>267</v>
      </c>
      <c r="F95" s="349">
        <v>15000</v>
      </c>
      <c r="G95" s="326"/>
      <c r="H95" s="623">
        <f>SUM(H96:H104)</f>
        <v>15189</v>
      </c>
      <c r="I95" s="828">
        <f>Tracking_SI59[[#This Row],[Số  lượng trên ĐH]]-Tracking_SI59[[#This Row],[Số  lượng giao]]</f>
        <v>-189</v>
      </c>
      <c r="J95" s="349">
        <v>46500</v>
      </c>
      <c r="K95" s="346"/>
      <c r="L95" s="24"/>
    </row>
    <row r="96" spans="1:12" ht="21" customHeight="1">
      <c r="A96" s="57"/>
      <c r="B96" s="1" t="s">
        <v>269</v>
      </c>
      <c r="C96" s="46"/>
      <c r="D96" s="108">
        <v>46200</v>
      </c>
      <c r="E96" s="27" t="s">
        <v>267</v>
      </c>
      <c r="F96" s="167"/>
      <c r="G96" s="323" t="e">
        <f>Tracking_SI59[[#This Row],[Còn lại so với ĐH]]/Tracking_SI59[[#This Row],[Số  lượng trên ĐH]]</f>
        <v>#DIV/0!</v>
      </c>
      <c r="H96" s="164">
        <v>649</v>
      </c>
      <c r="I96" s="608"/>
      <c r="J96" s="167"/>
      <c r="K96" s="134"/>
      <c r="L96" s="35"/>
    </row>
    <row r="97" spans="1:12" ht="21" customHeight="1">
      <c r="A97" s="57"/>
      <c r="B97" s="1" t="s">
        <v>269</v>
      </c>
      <c r="C97" s="46"/>
      <c r="D97" s="108">
        <v>46207</v>
      </c>
      <c r="E97" s="27" t="s">
        <v>267</v>
      </c>
      <c r="F97" s="167"/>
      <c r="G97" s="323" t="e">
        <f>Tracking_SI59[[#This Row],[Còn lại so với ĐH]]/Tracking_SI59[[#This Row],[Số  lượng trên ĐH]]</f>
        <v>#DIV/0!</v>
      </c>
      <c r="H97" s="164">
        <v>990</v>
      </c>
      <c r="I97" s="608"/>
      <c r="J97" s="167"/>
      <c r="K97" s="134"/>
      <c r="L97" s="35"/>
    </row>
    <row r="98" spans="1:12" ht="21" customHeight="1">
      <c r="A98" s="57"/>
      <c r="B98" s="1" t="s">
        <v>269</v>
      </c>
      <c r="C98" s="46"/>
      <c r="D98" s="108">
        <v>46218</v>
      </c>
      <c r="E98" s="27" t="s">
        <v>267</v>
      </c>
      <c r="F98" s="167"/>
      <c r="G98" s="323" t="e">
        <f>Tracking_SI59[[#This Row],[Còn lại so với ĐH]]/Tracking_SI59[[#This Row],[Số  lượng trên ĐH]]</f>
        <v>#DIV/0!</v>
      </c>
      <c r="H98" s="164">
        <v>1467</v>
      </c>
      <c r="I98" s="608"/>
      <c r="J98" s="167"/>
      <c r="K98" s="134"/>
      <c r="L98" s="35"/>
    </row>
    <row r="99" spans="1:12" ht="21" customHeight="1">
      <c r="A99" s="57"/>
      <c r="B99" s="1" t="s">
        <v>269</v>
      </c>
      <c r="C99" s="46"/>
      <c r="D99" s="108">
        <v>46221</v>
      </c>
      <c r="E99" s="27" t="s">
        <v>267</v>
      </c>
      <c r="F99" s="167"/>
      <c r="G99" s="323" t="e">
        <f>Tracking_SI59[[#This Row],[Còn lại so với ĐH]]/Tracking_SI59[[#This Row],[Số  lượng trên ĐH]]</f>
        <v>#DIV/0!</v>
      </c>
      <c r="H99" s="164">
        <v>1142</v>
      </c>
      <c r="I99" s="608"/>
      <c r="J99" s="167"/>
      <c r="K99" s="134"/>
      <c r="L99" s="35"/>
    </row>
    <row r="100" spans="1:12" ht="21" customHeight="1">
      <c r="A100" s="57"/>
      <c r="B100" s="1" t="s">
        <v>269</v>
      </c>
      <c r="C100" s="46"/>
      <c r="D100" s="108">
        <v>46225</v>
      </c>
      <c r="E100" s="27" t="s">
        <v>267</v>
      </c>
      <c r="F100" s="167"/>
      <c r="G100" s="323" t="e">
        <f>Tracking_SI59[[#This Row],[Còn lại so với ĐH]]/Tracking_SI59[[#This Row],[Số  lượng trên ĐH]]</f>
        <v>#DIV/0!</v>
      </c>
      <c r="H100" s="164">
        <v>379</v>
      </c>
      <c r="I100" s="608"/>
      <c r="J100" s="167"/>
      <c r="K100" s="134"/>
      <c r="L100" s="35"/>
    </row>
    <row r="101" spans="1:12" ht="21" customHeight="1">
      <c r="A101" s="57"/>
      <c r="B101" s="1" t="s">
        <v>269</v>
      </c>
      <c r="C101" s="46"/>
      <c r="D101" s="108">
        <v>46230</v>
      </c>
      <c r="E101" s="27" t="s">
        <v>267</v>
      </c>
      <c r="F101" s="167"/>
      <c r="G101" s="323" t="e">
        <f>Tracking_SI59[[#This Row],[Còn lại so với ĐH]]/Tracking_SI59[[#This Row],[Số  lượng trên ĐH]]</f>
        <v>#DIV/0!</v>
      </c>
      <c r="H101" s="164">
        <v>1142</v>
      </c>
      <c r="I101" s="608"/>
      <c r="J101" s="167"/>
      <c r="K101" s="134"/>
      <c r="L101" s="35"/>
    </row>
    <row r="102" spans="1:12" ht="21" customHeight="1">
      <c r="A102" s="57"/>
      <c r="B102" s="1" t="s">
        <v>269</v>
      </c>
      <c r="C102" s="46"/>
      <c r="D102" s="108">
        <v>46246</v>
      </c>
      <c r="E102" s="27" t="s">
        <v>267</v>
      </c>
      <c r="F102" s="167"/>
      <c r="G102" s="323" t="e">
        <f>Tracking_SI59[[#This Row],[Còn lại so với ĐH]]/Tracking_SI59[[#This Row],[Số  lượng trên ĐH]]</f>
        <v>#DIV/0!</v>
      </c>
      <c r="H102" s="164">
        <v>2246</v>
      </c>
      <c r="I102" s="608"/>
      <c r="J102" s="167"/>
      <c r="K102" s="134"/>
      <c r="L102" s="35"/>
    </row>
    <row r="103" spans="1:12" ht="21" customHeight="1">
      <c r="A103" s="57"/>
      <c r="B103" s="1" t="s">
        <v>269</v>
      </c>
      <c r="C103" s="46"/>
      <c r="D103" s="108">
        <v>46308</v>
      </c>
      <c r="E103" s="27" t="s">
        <v>267</v>
      </c>
      <c r="F103" s="167"/>
      <c r="G103" s="323" t="e">
        <f>Tracking_SI59[[#This Row],[Còn lại so với ĐH]]/Tracking_SI59[[#This Row],[Số  lượng trên ĐH]]</f>
        <v>#DIV/0!</v>
      </c>
      <c r="H103" s="164">
        <v>3016</v>
      </c>
      <c r="I103" s="608"/>
      <c r="J103" s="167"/>
      <c r="K103" s="134"/>
      <c r="L103" s="35"/>
    </row>
    <row r="104" spans="1:12" ht="21" customHeight="1">
      <c r="A104" s="57" t="s">
        <v>118</v>
      </c>
      <c r="B104" s="1" t="s">
        <v>269</v>
      </c>
      <c r="C104" s="46"/>
      <c r="D104" s="108">
        <v>46317</v>
      </c>
      <c r="E104" s="27" t="s">
        <v>267</v>
      </c>
      <c r="F104" s="167"/>
      <c r="G104" s="323" t="e">
        <f>Tracking_SI59[[#This Row],[Còn lại so với ĐH]]/Tracking_SI59[[#This Row],[Số  lượng trên ĐH]]</f>
        <v>#DIV/0!</v>
      </c>
      <c r="H104" s="164">
        <v>4158</v>
      </c>
      <c r="I104" s="608"/>
      <c r="J104" s="167"/>
      <c r="K104" s="134"/>
      <c r="L104" s="35"/>
    </row>
    <row r="105" spans="1:12" ht="21" customHeight="1">
      <c r="A105" s="58"/>
      <c r="B105" s="1"/>
      <c r="C105" s="62" t="s">
        <v>125</v>
      </c>
      <c r="D105" s="125"/>
      <c r="E105" s="126"/>
      <c r="F105" s="71"/>
      <c r="G105" s="323" t="e">
        <f>Tracking_SI59[[#This Row],[Còn lại so với ĐH]]/Tracking_SI59[[#This Row],[Số  lượng trên ĐH]]</f>
        <v>#DIV/0!</v>
      </c>
      <c r="H105" s="219"/>
      <c r="I105" s="210"/>
      <c r="J105" s="71"/>
      <c r="K105" s="135"/>
      <c r="L105" s="66"/>
    </row>
    <row r="106" spans="1:12" ht="21" customHeight="1">
      <c r="A106" s="58"/>
      <c r="B106" s="1"/>
      <c r="C106" s="46"/>
      <c r="D106" s="111"/>
      <c r="E106" s="25"/>
      <c r="F106" s="163"/>
      <c r="G106" s="326"/>
      <c r="H106" s="164"/>
      <c r="I106" s="607"/>
      <c r="J106" s="163"/>
      <c r="K106" s="127"/>
      <c r="L106" s="24"/>
    </row>
    <row r="107" spans="1:12" ht="21" customHeight="1">
      <c r="A107" s="57"/>
      <c r="B107" s="1"/>
      <c r="C107" s="46"/>
      <c r="D107" s="108"/>
      <c r="E107" s="27"/>
      <c r="F107" s="167"/>
      <c r="G107" s="323" t="e">
        <f>Tracking_SI59[[#This Row],[Còn lại so với ĐH]]/Tracking_SI59[[#This Row],[Số  lượng trên ĐH]]</f>
        <v>#DIV/0!</v>
      </c>
      <c r="H107" s="164"/>
      <c r="I107" s="608"/>
      <c r="J107" s="167"/>
      <c r="K107" s="134"/>
      <c r="L107" s="35"/>
    </row>
    <row r="108" spans="1:12" ht="21" customHeight="1">
      <c r="A108" s="57"/>
      <c r="B108" s="1"/>
      <c r="C108" s="46"/>
      <c r="D108" s="108"/>
      <c r="E108" s="27"/>
      <c r="F108" s="167"/>
      <c r="G108" s="323" t="e">
        <f>Tracking_SI59[[#This Row],[Còn lại so với ĐH]]/Tracking_SI59[[#This Row],[Số  lượng trên ĐH]]</f>
        <v>#DIV/0!</v>
      </c>
      <c r="H108" s="164"/>
      <c r="I108" s="608"/>
      <c r="J108" s="167"/>
      <c r="K108" s="134"/>
      <c r="L108" s="35"/>
    </row>
    <row r="109" spans="1:12" ht="21" customHeight="1">
      <c r="A109" s="57"/>
      <c r="B109" s="1"/>
      <c r="C109" s="46"/>
      <c r="D109" s="108"/>
      <c r="E109" s="27"/>
      <c r="F109" s="167"/>
      <c r="G109" s="323" t="e">
        <f>Tracking_SI59[[#This Row],[Còn lại so với ĐH]]/Tracking_SI59[[#This Row],[Số  lượng trên ĐH]]</f>
        <v>#DIV/0!</v>
      </c>
      <c r="H109" s="164"/>
      <c r="I109" s="608"/>
      <c r="J109" s="167"/>
      <c r="K109" s="134"/>
      <c r="L109" s="35"/>
    </row>
    <row r="110" spans="1:12" ht="21" customHeight="1">
      <c r="A110" s="58" t="s">
        <v>106</v>
      </c>
      <c r="B110" s="804" t="s">
        <v>121</v>
      </c>
      <c r="C110" s="690" t="s">
        <v>137</v>
      </c>
      <c r="D110" s="808"/>
      <c r="E110" s="808"/>
      <c r="F110" s="809"/>
      <c r="G110" s="693" t="e">
        <f>Tracking_SI59[[#This Row],[Còn lại so với ĐH]]/Tracking_SI59[[#This Row],[Số  lượng trên ĐH]]</f>
        <v>#DIV/0!</v>
      </c>
      <c r="H110" s="813"/>
      <c r="I110" s="811"/>
      <c r="J110" s="809"/>
      <c r="K110" s="812"/>
      <c r="L110" s="802"/>
    </row>
    <row r="111" spans="1:12" ht="21" customHeight="1">
      <c r="A111" s="57"/>
      <c r="B111" s="1" t="s">
        <v>121</v>
      </c>
      <c r="C111" s="46"/>
      <c r="D111" s="341">
        <v>46083</v>
      </c>
      <c r="E111" s="342" t="s">
        <v>211</v>
      </c>
      <c r="F111" s="343">
        <v>10000</v>
      </c>
      <c r="G111" s="323">
        <f>Tracking_SI59[[#This Row],[Còn lại so với ĐH]]/Tracking_SI59[[#This Row],[Số  lượng trên ĐH]]</f>
        <v>0</v>
      </c>
      <c r="H111" s="378">
        <f>SUM(H112:H114)</f>
        <v>10000</v>
      </c>
      <c r="I111" s="600">
        <f>Tracking_SI59[[#This Row],[Số  lượng trên ĐH]]-Tracking_SI59[[#This Row],[Số  lượng giao]]</f>
        <v>0</v>
      </c>
      <c r="J111" s="343"/>
      <c r="K111" s="356" t="s">
        <v>116</v>
      </c>
      <c r="L111" s="35"/>
    </row>
    <row r="112" spans="1:12" ht="21" customHeight="1">
      <c r="A112" s="57"/>
      <c r="B112" s="1" t="s">
        <v>121</v>
      </c>
      <c r="C112" s="46"/>
      <c r="D112" s="108" t="s">
        <v>262</v>
      </c>
      <c r="E112" s="27" t="s">
        <v>211</v>
      </c>
      <c r="F112" s="349"/>
      <c r="G112" s="323" t="e">
        <f>Tracking_SI59[[#This Row],[Còn lại so với ĐH]]/Tracking_SI59[[#This Row],[Số  lượng trên ĐH]]</f>
        <v>#DIV/0!</v>
      </c>
      <c r="H112" s="637">
        <v>8234</v>
      </c>
      <c r="I112" s="612"/>
      <c r="J112" s="167"/>
      <c r="K112" s="134" t="s">
        <v>118</v>
      </c>
      <c r="L112" s="35"/>
    </row>
    <row r="113" spans="1:12" ht="21" customHeight="1">
      <c r="A113" s="57"/>
      <c r="B113" s="1" t="s">
        <v>121</v>
      </c>
      <c r="C113" s="46"/>
      <c r="D113" s="108">
        <v>46148</v>
      </c>
      <c r="E113" s="27" t="s">
        <v>211</v>
      </c>
      <c r="F113" s="349"/>
      <c r="G113" s="323" t="e">
        <f>Tracking_SI59[[#This Row],[Còn lại so với ĐH]]/Tracking_SI59[[#This Row],[Số  lượng trên ĐH]]</f>
        <v>#DIV/0!</v>
      </c>
      <c r="H113" s="637">
        <v>979</v>
      </c>
      <c r="I113" s="612"/>
      <c r="J113" s="167"/>
      <c r="K113" s="134" t="s">
        <v>118</v>
      </c>
      <c r="L113" s="35"/>
    </row>
    <row r="114" spans="1:12" ht="21" customHeight="1">
      <c r="A114" s="57"/>
      <c r="B114" s="1" t="s">
        <v>121</v>
      </c>
      <c r="C114" s="46"/>
      <c r="D114" s="108">
        <v>46151</v>
      </c>
      <c r="E114" s="27" t="s">
        <v>211</v>
      </c>
      <c r="F114" s="349"/>
      <c r="G114" s="323" t="e">
        <f>Tracking_SI59[[#This Row],[Còn lại so với ĐH]]/Tracking_SI59[[#This Row],[Số  lượng trên ĐH]]</f>
        <v>#DIV/0!</v>
      </c>
      <c r="H114" s="637">
        <v>787</v>
      </c>
      <c r="I114" s="612"/>
      <c r="J114" s="167"/>
      <c r="K114" s="134" t="s">
        <v>118</v>
      </c>
      <c r="L114" s="35"/>
    </row>
    <row r="115" spans="1:12" ht="21" customHeight="1">
      <c r="A115" s="57" t="s">
        <v>115</v>
      </c>
      <c r="B115" s="1" t="s">
        <v>121</v>
      </c>
      <c r="C115" s="46"/>
      <c r="D115" s="215">
        <v>46149</v>
      </c>
      <c r="E115" s="348" t="s">
        <v>271</v>
      </c>
      <c r="F115" s="349">
        <v>10000</v>
      </c>
      <c r="G115" s="326">
        <f>Tracking_SI59[[#This Row],[Còn lại so với ĐH]]/Tracking_SI59[[#This Row],[Số  lượng trên ĐH]]</f>
        <v>0.39500000000000002</v>
      </c>
      <c r="H115" s="623">
        <f>SUM(H116:H129)</f>
        <v>6050</v>
      </c>
      <c r="I115" s="828">
        <f>Tracking_SI59[[#This Row],[Số  lượng trên ĐH]]-Tracking_SI59[[#This Row],[Số  lượng giao]]</f>
        <v>3950</v>
      </c>
      <c r="J115" s="346">
        <v>48200</v>
      </c>
      <c r="K115" s="346"/>
      <c r="L115" s="35"/>
    </row>
    <row r="116" spans="1:12" ht="21" customHeight="1">
      <c r="A116" s="57"/>
      <c r="B116" s="1" t="s">
        <v>121</v>
      </c>
      <c r="C116" s="46"/>
      <c r="D116" s="108">
        <v>46308</v>
      </c>
      <c r="E116" s="27" t="s">
        <v>271</v>
      </c>
      <c r="F116" s="349"/>
      <c r="G116" s="323" t="e">
        <f>Tracking_SI59[[#This Row],[Còn lại so với ĐH]]/Tracking_SI59[[#This Row],[Số  lượng trên ĐH]]</f>
        <v>#DIV/0!</v>
      </c>
      <c r="H116" s="354">
        <v>1629</v>
      </c>
      <c r="I116" s="612"/>
      <c r="J116" s="167"/>
      <c r="K116" s="127"/>
      <c r="L116" s="35"/>
    </row>
    <row r="117" spans="1:12" ht="21" customHeight="1">
      <c r="A117" s="57" t="s">
        <v>118</v>
      </c>
      <c r="B117" s="1" t="s">
        <v>121</v>
      </c>
      <c r="C117" s="46"/>
      <c r="D117" s="108">
        <v>46323</v>
      </c>
      <c r="E117" s="27" t="s">
        <v>271</v>
      </c>
      <c r="F117" s="349"/>
      <c r="G117" s="323" t="e">
        <f>Tracking_SI59[[#This Row],[Còn lại so với ĐH]]/Tracking_SI59[[#This Row],[Số  lượng trên ĐH]]</f>
        <v>#DIV/0!</v>
      </c>
      <c r="H117" s="354">
        <v>4421</v>
      </c>
      <c r="I117" s="612"/>
      <c r="J117" s="167"/>
      <c r="K117" s="127"/>
      <c r="L117" s="35"/>
    </row>
    <row r="118" spans="1:12" ht="21" customHeight="1">
      <c r="A118" s="57"/>
      <c r="B118" s="1" t="s">
        <v>121</v>
      </c>
      <c r="C118" s="46"/>
      <c r="D118" s="108"/>
      <c r="E118" s="27" t="s">
        <v>271</v>
      </c>
      <c r="F118" s="613"/>
      <c r="G118" s="323" t="e">
        <f>Tracking_SI59[[#This Row],[Còn lại so với ĐH]]/Tracking_SI59[[#This Row],[Số  lượng trên ĐH]]</f>
        <v>#DIV/0!</v>
      </c>
      <c r="H118" s="164"/>
      <c r="I118" s="354"/>
      <c r="J118" s="167"/>
      <c r="K118" s="127"/>
      <c r="L118" s="35"/>
    </row>
    <row r="119" spans="1:12" ht="21" customHeight="1">
      <c r="A119" s="58"/>
      <c r="B119" s="1"/>
      <c r="C119" s="62" t="s">
        <v>33</v>
      </c>
      <c r="D119" s="70"/>
      <c r="E119" s="126"/>
      <c r="F119" s="71"/>
      <c r="G119" s="323" t="e">
        <f>Tracking_SI59[[#This Row],[Còn lại so với ĐH]]/Tracking_SI59[[#This Row],[Số  lượng trên ĐH]]</f>
        <v>#DIV/0!</v>
      </c>
      <c r="H119" s="238"/>
      <c r="I119" s="211"/>
      <c r="J119" s="71"/>
      <c r="K119" s="135"/>
      <c r="L119" s="66"/>
    </row>
    <row r="120" spans="1:12" ht="21" customHeight="1">
      <c r="A120" s="57"/>
      <c r="B120" s="1"/>
      <c r="C120" s="46"/>
      <c r="D120" s="111"/>
      <c r="E120" s="27"/>
      <c r="F120" s="167"/>
      <c r="G120" s="323" t="e">
        <f>Tracking_SI59[[#This Row],[Còn lại so với ĐH]]/Tracking_SI59[[#This Row],[Số  lượng trên ĐH]]</f>
        <v>#DIV/0!</v>
      </c>
      <c r="H120" s="164"/>
      <c r="I120" s="354"/>
      <c r="J120" s="167"/>
      <c r="K120" s="134"/>
      <c r="L120" s="35"/>
    </row>
    <row r="121" spans="1:12" ht="21" customHeight="1">
      <c r="A121" s="57"/>
      <c r="B121" s="1"/>
      <c r="C121" s="46"/>
      <c r="D121" s="111"/>
      <c r="E121" s="27"/>
      <c r="F121" s="167"/>
      <c r="G121" s="323" t="e">
        <f>Tracking_SI59[[#This Row],[Còn lại so với ĐH]]/Tracking_SI59[[#This Row],[Số  lượng trên ĐH]]</f>
        <v>#DIV/0!</v>
      </c>
      <c r="H121" s="164"/>
      <c r="I121" s="606"/>
      <c r="J121" s="167"/>
      <c r="K121" s="134"/>
      <c r="L121" s="35"/>
    </row>
    <row r="122" spans="1:12" ht="21" customHeight="1">
      <c r="A122" s="58"/>
      <c r="B122" s="1" t="s">
        <v>129</v>
      </c>
      <c r="C122" s="62" t="s">
        <v>181</v>
      </c>
      <c r="D122" s="70"/>
      <c r="E122" s="126"/>
      <c r="F122" s="71"/>
      <c r="G122" s="323" t="e">
        <f>Tracking_SI59[[#This Row],[Còn lại so với ĐH]]/Tracking_SI59[[#This Row],[Số  lượng trên ĐH]]</f>
        <v>#DIV/0!</v>
      </c>
      <c r="H122" s="219"/>
      <c r="I122" s="210"/>
      <c r="J122" s="71"/>
      <c r="K122" s="135"/>
      <c r="L122" s="66"/>
    </row>
    <row r="123" spans="1:12" ht="21" customHeight="1">
      <c r="A123" s="58"/>
      <c r="B123" s="1" t="s">
        <v>129</v>
      </c>
      <c r="C123" s="46"/>
      <c r="D123" s="183"/>
      <c r="E123" s="194"/>
      <c r="F123" s="172"/>
      <c r="G123" s="326" t="e">
        <f>Tracking_SI59[[#This Row],[Còn lại so với ĐH]]/Tracking_SI59[[#This Row],[Số  lượng trên ĐH]]</f>
        <v>#DIV/0!</v>
      </c>
      <c r="H123" s="164"/>
      <c r="I123" s="614"/>
      <c r="J123" s="172"/>
      <c r="K123" s="195"/>
      <c r="L123" s="24"/>
    </row>
    <row r="124" spans="1:12" ht="21" customHeight="1">
      <c r="A124" s="57"/>
      <c r="B124" s="1" t="s">
        <v>129</v>
      </c>
      <c r="C124" s="46"/>
      <c r="D124" s="148"/>
      <c r="E124" s="27"/>
      <c r="F124" s="167"/>
      <c r="G124" s="323" t="e">
        <f>Tracking_SI59[[#This Row],[Còn lại so với ĐH]]/Tracking_SI59[[#This Row],[Số  lượng trên ĐH]]</f>
        <v>#DIV/0!</v>
      </c>
      <c r="H124" s="164"/>
      <c r="I124" s="608"/>
      <c r="J124" s="167"/>
      <c r="K124" s="130"/>
      <c r="L124" s="35"/>
    </row>
    <row r="125" spans="1:12" ht="21" customHeight="1">
      <c r="A125" s="58"/>
      <c r="B125" s="1" t="s">
        <v>129</v>
      </c>
      <c r="C125" s="46"/>
      <c r="D125" s="154"/>
      <c r="E125" s="155"/>
      <c r="F125" s="168"/>
      <c r="G125" s="326" t="e">
        <f>Tracking_SI59[[#This Row],[Còn lại so với ĐH]]/Tracking_SI59[[#This Row],[Số  lượng trên ĐH]]</f>
        <v>#DIV/0!</v>
      </c>
      <c r="H125" s="333"/>
      <c r="I125" s="615"/>
      <c r="J125" s="163"/>
      <c r="K125" s="182"/>
      <c r="L125" s="24"/>
    </row>
    <row r="126" spans="1:12" ht="21" customHeight="1">
      <c r="A126" s="57"/>
      <c r="B126" s="1" t="s">
        <v>129</v>
      </c>
      <c r="C126" s="46"/>
      <c r="D126" s="148"/>
      <c r="E126" s="27"/>
      <c r="F126" s="167"/>
      <c r="G126" s="326" t="e">
        <f>Tracking_SI59[[#This Row],[Còn lại so với ĐH]]/Tracking_SI59[[#This Row],[Số  lượng trên ĐH]]</f>
        <v>#DIV/0!</v>
      </c>
      <c r="H126" s="164"/>
      <c r="I126" s="608"/>
      <c r="J126" s="167"/>
      <c r="K126" s="134"/>
      <c r="L126" s="35"/>
    </row>
    <row r="127" spans="1:12" ht="21" customHeight="1">
      <c r="A127" s="57"/>
      <c r="B127" s="1" t="s">
        <v>129</v>
      </c>
      <c r="C127" s="46"/>
      <c r="D127" s="148"/>
      <c r="E127" s="27"/>
      <c r="F127" s="167"/>
      <c r="G127" s="326" t="e">
        <f>Tracking_SI59[[#This Row],[Còn lại so với ĐH]]/Tracking_SI59[[#This Row],[Số  lượng trên ĐH]]</f>
        <v>#DIV/0!</v>
      </c>
      <c r="H127" s="164"/>
      <c r="I127" s="608"/>
      <c r="J127" s="167"/>
      <c r="K127" s="134"/>
      <c r="L127" s="35"/>
    </row>
    <row r="128" spans="1:12" ht="21" customHeight="1">
      <c r="A128" s="57"/>
      <c r="B128" s="1" t="s">
        <v>129</v>
      </c>
      <c r="C128" s="46"/>
      <c r="D128" s="148"/>
      <c r="E128" s="27"/>
      <c r="F128" s="167"/>
      <c r="G128" s="326" t="e">
        <f>Tracking_SI59[[#This Row],[Còn lại so với ĐH]]/Tracking_SI59[[#This Row],[Số  lượng trên ĐH]]</f>
        <v>#DIV/0!</v>
      </c>
      <c r="H128" s="164"/>
      <c r="I128" s="608"/>
      <c r="J128" s="167"/>
      <c r="K128" s="134"/>
      <c r="L128" s="35"/>
    </row>
    <row r="129" spans="1:18" ht="21" customHeight="1">
      <c r="A129" s="57"/>
      <c r="B129" s="1" t="s">
        <v>129</v>
      </c>
      <c r="C129" s="46"/>
      <c r="D129" s="148"/>
      <c r="E129" s="27"/>
      <c r="F129" s="167"/>
      <c r="G129" s="326" t="e">
        <f>Tracking_SI59[[#This Row],[Còn lại so với ĐH]]/Tracking_SI59[[#This Row],[Số  lượng trên ĐH]]</f>
        <v>#DIV/0!</v>
      </c>
      <c r="H129" s="164"/>
      <c r="I129" s="609"/>
      <c r="J129" s="167"/>
      <c r="K129" s="134"/>
      <c r="L129" s="35"/>
    </row>
    <row r="130" spans="1:18" ht="21" customHeight="1">
      <c r="A130" s="57"/>
      <c r="B130" s="1" t="s">
        <v>129</v>
      </c>
      <c r="C130" s="46"/>
      <c r="D130" s="148"/>
      <c r="E130" s="27"/>
      <c r="F130" s="167"/>
      <c r="G130" s="326" t="e">
        <f>Tracking_SI59[[#This Row],[Còn lại so với ĐH]]/Tracking_SI59[[#This Row],[Số  lượng trên ĐH]]</f>
        <v>#DIV/0!</v>
      </c>
      <c r="H130" s="164"/>
      <c r="I130" s="354"/>
      <c r="J130" s="167"/>
      <c r="K130" s="134"/>
      <c r="L130" s="35"/>
    </row>
    <row r="131" spans="1:18" ht="21" customHeight="1">
      <c r="A131" s="57"/>
      <c r="B131" s="1" t="s">
        <v>129</v>
      </c>
      <c r="C131" s="46"/>
      <c r="D131" s="148"/>
      <c r="E131" s="27"/>
      <c r="F131" s="164"/>
      <c r="G131" s="326" t="e">
        <f>Tracking_SI59[[#This Row],[Còn lại so với ĐH]]/Tracking_SI59[[#This Row],[Số  lượng trên ĐH]]</f>
        <v>#DIV/0!</v>
      </c>
      <c r="H131" s="164"/>
      <c r="I131" s="354"/>
      <c r="J131" s="167"/>
      <c r="K131" s="134"/>
      <c r="L131" s="35"/>
    </row>
    <row r="132" spans="1:18" ht="21" customHeight="1">
      <c r="A132" s="57"/>
      <c r="B132" s="1" t="s">
        <v>129</v>
      </c>
      <c r="C132" s="46"/>
      <c r="D132" s="148"/>
      <c r="E132" s="27"/>
      <c r="F132" s="167"/>
      <c r="G132" s="326" t="e">
        <f>Tracking_SI59[[#This Row],[Còn lại so với ĐH]]/Tracking_SI59[[#This Row],[Số  lượng trên ĐH]]</f>
        <v>#DIV/0!</v>
      </c>
      <c r="H132" s="164"/>
      <c r="I132" s="354"/>
      <c r="J132" s="167"/>
      <c r="K132" s="134"/>
      <c r="L132" s="35"/>
    </row>
    <row r="133" spans="1:18" ht="20.25" customHeight="1">
      <c r="A133" s="58" t="s">
        <v>106</v>
      </c>
      <c r="B133" s="804" t="s">
        <v>176</v>
      </c>
      <c r="C133" s="690" t="s">
        <v>216</v>
      </c>
      <c r="D133" s="814"/>
      <c r="E133" s="808"/>
      <c r="F133" s="809"/>
      <c r="G133" s="693" t="e">
        <f>Tracking_SI59[[#This Row],[Còn lại so với ĐH]]/Tracking_SI59[[#This Row],[Số  lượng trên ĐH]]</f>
        <v>#DIV/0!</v>
      </c>
      <c r="H133" s="810"/>
      <c r="I133" s="811"/>
      <c r="J133" s="809"/>
      <c r="K133" s="812"/>
      <c r="L133" s="802"/>
    </row>
    <row r="134" spans="1:18" ht="20.25" customHeight="1">
      <c r="A134" s="57" t="s">
        <v>115</v>
      </c>
      <c r="B134" s="1" t="s">
        <v>176</v>
      </c>
      <c r="C134" s="46"/>
      <c r="D134" s="341">
        <v>46259</v>
      </c>
      <c r="E134" s="342" t="s">
        <v>293</v>
      </c>
      <c r="F134" s="678">
        <v>10000</v>
      </c>
      <c r="G134" s="697">
        <f>Tracking_SI59[[#This Row],[Còn lại so với ĐH]]/Tracking_SI59[[#This Row],[Số  lượng trên ĐH]]</f>
        <v>0.60499999999999998</v>
      </c>
      <c r="H134" s="601">
        <f>SUM(H135:H140)</f>
        <v>3950</v>
      </c>
      <c r="I134" s="679">
        <f>Tracking_SI59[[#This Row],[Số  lượng trên ĐH]]-Tracking_SI59[[#This Row],[Số  lượng giao]]</f>
        <v>6050</v>
      </c>
      <c r="J134" s="678"/>
      <c r="K134" s="134"/>
      <c r="L134" s="35"/>
    </row>
    <row r="135" spans="1:18" ht="20.25" customHeight="1">
      <c r="A135" s="57"/>
      <c r="B135" s="1" t="s">
        <v>176</v>
      </c>
      <c r="C135" s="46"/>
      <c r="D135" s="148">
        <v>46297</v>
      </c>
      <c r="E135" s="27" t="s">
        <v>293</v>
      </c>
      <c r="F135" s="167"/>
      <c r="G135" s="323" t="e">
        <f>Tracking_SI59[[#This Row],[Còn lại so với ĐH]]/Tracking_SI59[[#This Row],[Số  lượng trên ĐH]]</f>
        <v>#DIV/0!</v>
      </c>
      <c r="H135" s="164">
        <v>1974</v>
      </c>
      <c r="I135" s="606"/>
      <c r="J135" s="167"/>
      <c r="K135" s="134"/>
      <c r="L135" s="35"/>
    </row>
    <row r="136" spans="1:18" ht="20.25" customHeight="1">
      <c r="A136" s="57" t="s">
        <v>118</v>
      </c>
      <c r="B136" s="1" t="s">
        <v>176</v>
      </c>
      <c r="C136" s="46"/>
      <c r="D136" s="148">
        <v>46309</v>
      </c>
      <c r="E136" s="27" t="s">
        <v>293</v>
      </c>
      <c r="F136" s="167"/>
      <c r="G136" s="323" t="e">
        <f>Tracking_SI59[[#This Row],[Còn lại so với ĐH]]/Tracking_SI59[[#This Row],[Số  lượng trên ĐH]]</f>
        <v>#DIV/0!</v>
      </c>
      <c r="H136" s="164">
        <v>1976</v>
      </c>
      <c r="I136" s="608"/>
      <c r="J136" s="167"/>
      <c r="K136" s="134"/>
      <c r="L136" s="35"/>
    </row>
    <row r="137" spans="1:18" ht="20.25" customHeight="1">
      <c r="A137" s="57"/>
      <c r="B137" s="1" t="s">
        <v>176</v>
      </c>
      <c r="C137" s="46"/>
      <c r="D137" s="154"/>
      <c r="E137" s="27" t="s">
        <v>293</v>
      </c>
      <c r="F137" s="168"/>
      <c r="G137" s="326" t="e">
        <f>Tracking_SI59[[#This Row],[Còn lại so với ĐH]]/Tracking_SI59[[#This Row],[Số  lượng trên ĐH]]</f>
        <v>#DIV/0!</v>
      </c>
      <c r="H137" s="168"/>
      <c r="I137" s="616"/>
      <c r="J137" s="617"/>
      <c r="K137" s="154"/>
      <c r="L137" s="35"/>
    </row>
    <row r="138" spans="1:18" ht="20.25" customHeight="1">
      <c r="A138" s="57"/>
      <c r="B138" s="1" t="s">
        <v>176</v>
      </c>
      <c r="C138" s="46"/>
      <c r="D138" s="148"/>
      <c r="E138" s="27" t="s">
        <v>293</v>
      </c>
      <c r="F138" s="167"/>
      <c r="G138" s="326" t="e">
        <f>Tracking_SI59[[#This Row],[Còn lại so với ĐH]]/Tracking_SI59[[#This Row],[Số  lượng trên ĐH]]</f>
        <v>#DIV/0!</v>
      </c>
      <c r="H138" s="164"/>
      <c r="I138" s="608"/>
      <c r="J138" s="167"/>
      <c r="K138" s="134"/>
      <c r="L138" s="35"/>
    </row>
    <row r="139" spans="1:18" ht="20.25" customHeight="1">
      <c r="A139" s="57"/>
      <c r="B139" s="1" t="s">
        <v>176</v>
      </c>
      <c r="C139" s="46"/>
      <c r="D139" s="148"/>
      <c r="E139" s="27" t="s">
        <v>293</v>
      </c>
      <c r="F139" s="167"/>
      <c r="G139" s="326" t="e">
        <f>Tracking_SI59[[#This Row],[Còn lại so với ĐH]]/Tracking_SI59[[#This Row],[Số  lượng trên ĐH]]</f>
        <v>#DIV/0!</v>
      </c>
      <c r="H139" s="164"/>
      <c r="I139" s="608"/>
      <c r="J139" s="167"/>
      <c r="K139" s="134"/>
      <c r="L139" s="35"/>
    </row>
    <row r="140" spans="1:18" ht="20.25" customHeight="1">
      <c r="A140" s="57"/>
      <c r="B140" s="1" t="s">
        <v>176</v>
      </c>
      <c r="C140" s="46"/>
      <c r="D140" s="111"/>
      <c r="E140" s="27" t="s">
        <v>293</v>
      </c>
      <c r="F140" s="167"/>
      <c r="G140" s="326" t="e">
        <f>Tracking_SI59[[#This Row],[Còn lại so với ĐH]]/Tracking_SI59[[#This Row],[Số  lượng trên ĐH]]</f>
        <v>#DIV/0!</v>
      </c>
      <c r="H140" s="164"/>
      <c r="I140" s="608"/>
      <c r="J140" s="167"/>
      <c r="K140" s="134"/>
      <c r="L140" s="35"/>
    </row>
    <row r="141" spans="1:18" ht="20.25" customHeight="1">
      <c r="A141" s="58"/>
      <c r="B141" s="320" t="s">
        <v>276</v>
      </c>
      <c r="C141" s="62" t="s">
        <v>280</v>
      </c>
      <c r="D141" s="70"/>
      <c r="E141" s="126"/>
      <c r="F141" s="219"/>
      <c r="G141" s="326" t="e">
        <f>Tracking_SI59[[#This Row],[Còn lại so với ĐH]]/Tracking_SI59[[#This Row],[Số  lượng trên ĐH]]</f>
        <v>#DIV/0!</v>
      </c>
      <c r="H141" s="210"/>
      <c r="I141" s="71"/>
      <c r="J141" s="135"/>
      <c r="K141" s="66"/>
      <c r="L141" s="323" t="e">
        <v>#DIV/0!</v>
      </c>
    </row>
    <row r="142" spans="1:18" ht="20.25" customHeight="1">
      <c r="A142" s="57"/>
      <c r="B142" s="421" t="s">
        <v>276</v>
      </c>
      <c r="C142" s="152"/>
      <c r="D142" s="341">
        <v>46183</v>
      </c>
      <c r="E142" s="342" t="s">
        <v>278</v>
      </c>
      <c r="F142" s="343">
        <v>5000</v>
      </c>
      <c r="G142">
        <f>Tracking_SI59[[#This Row],[Còn lại so với ĐH]]/Tracking_SI59[[#This Row],[Số  lượng trên ĐH]]</f>
        <v>-1.72E-2</v>
      </c>
      <c r="H142" s="601">
        <f>SUM(H143:H147)</f>
        <v>5086</v>
      </c>
      <c r="I142" s="601">
        <f>Tracking_SI59[[#This Row],[Số  lượng trên ĐH]]-Tracking_SI59[[#This Row],[Số  lượng giao]]</f>
        <v>-86</v>
      </c>
      <c r="J142" s="373">
        <v>43700</v>
      </c>
      <c r="K142" s="35" t="s">
        <v>116</v>
      </c>
      <c r="L142" s="326"/>
      <c r="Q142" s="9"/>
      <c r="R142" s="9"/>
    </row>
    <row r="143" spans="1:18" ht="20.25" customHeight="1">
      <c r="A143" s="57"/>
      <c r="B143" s="1" t="s">
        <v>276</v>
      </c>
      <c r="C143" s="152"/>
      <c r="D143" s="108">
        <v>46221</v>
      </c>
      <c r="E143" s="30" t="s">
        <v>278</v>
      </c>
      <c r="F143" s="35"/>
      <c r="G143" s="326" t="e">
        <f>Tracking_SI59[[#This Row],[Còn lại so với ĐH]]/Tracking_SI59[[#This Row],[Số  lượng trên ĐH]]</f>
        <v>#DIV/0!</v>
      </c>
      <c r="H143" s="31">
        <v>1789</v>
      </c>
      <c r="I143" s="188"/>
      <c r="J143" s="32"/>
      <c r="K143" s="133"/>
      <c r="L143" s="35"/>
    </row>
    <row r="144" spans="1:18" ht="20.25" customHeight="1">
      <c r="A144" s="57"/>
      <c r="B144" s="1" t="s">
        <v>276</v>
      </c>
      <c r="C144" s="152"/>
      <c r="D144" s="111">
        <v>46225</v>
      </c>
      <c r="E144" s="30" t="s">
        <v>278</v>
      </c>
      <c r="F144" s="35"/>
      <c r="G144" s="326" t="e">
        <f>Tracking_SI59[[#This Row],[Còn lại so với ĐH]]/Tracking_SI59[[#This Row],[Số  lượng trên ĐH]]</f>
        <v>#DIV/0!</v>
      </c>
      <c r="H144" s="31">
        <v>3297</v>
      </c>
      <c r="I144" s="188"/>
      <c r="J144" s="32"/>
      <c r="K144" s="133"/>
      <c r="L144" s="35"/>
    </row>
    <row r="145" spans="1:19" ht="20.25" customHeight="1">
      <c r="A145" s="57"/>
      <c r="B145" s="1" t="s">
        <v>276</v>
      </c>
      <c r="C145" s="152"/>
      <c r="D145" s="111"/>
      <c r="E145" s="30" t="s">
        <v>278</v>
      </c>
      <c r="F145" s="35"/>
      <c r="G145" s="326" t="e">
        <f>Tracking_SI59[[#This Row],[Còn lại so với ĐH]]/Tracking_SI59[[#This Row],[Số  lượng trên ĐH]]</f>
        <v>#DIV/0!</v>
      </c>
      <c r="H145" s="31"/>
      <c r="I145" s="188"/>
      <c r="J145" s="32"/>
      <c r="K145" s="133"/>
      <c r="L145" s="35"/>
    </row>
    <row r="146" spans="1:19" ht="20.25" customHeight="1">
      <c r="A146" s="57"/>
      <c r="B146" s="1" t="s">
        <v>276</v>
      </c>
      <c r="C146" s="152"/>
      <c r="D146" s="111"/>
      <c r="E146" s="30" t="s">
        <v>278</v>
      </c>
      <c r="F146" s="35"/>
      <c r="G146" s="326" t="e">
        <f>Tracking_SI59[[#This Row],[Còn lại so với ĐH]]/Tracking_SI59[[#This Row],[Số  lượng trên ĐH]]</f>
        <v>#DIV/0!</v>
      </c>
      <c r="H146" s="31"/>
      <c r="I146" s="188"/>
      <c r="J146" s="32"/>
      <c r="K146" s="133"/>
      <c r="L146" s="35"/>
    </row>
    <row r="147" spans="1:19" ht="20.25" customHeight="1">
      <c r="A147" s="57"/>
      <c r="B147" s="1" t="s">
        <v>276</v>
      </c>
      <c r="C147" s="152"/>
      <c r="D147" s="111"/>
      <c r="E147" s="30" t="s">
        <v>278</v>
      </c>
      <c r="F147" s="35"/>
      <c r="G147" s="326" t="e">
        <f>Tracking_SI59[[#This Row],[Còn lại so với ĐH]]/Tracking_SI59[[#This Row],[Số  lượng trên ĐH]]</f>
        <v>#DIV/0!</v>
      </c>
      <c r="H147" s="31"/>
      <c r="I147" s="188"/>
      <c r="J147" s="32"/>
      <c r="K147" s="133"/>
      <c r="L147" s="35"/>
    </row>
    <row r="148" spans="1:19" ht="20.25" customHeight="1">
      <c r="A148" s="58" t="s">
        <v>106</v>
      </c>
      <c r="B148" s="815" t="s">
        <v>277</v>
      </c>
      <c r="C148" s="690" t="s">
        <v>281</v>
      </c>
      <c r="D148" s="814"/>
      <c r="E148" s="808"/>
      <c r="F148" s="810"/>
      <c r="G148" s="693" t="e">
        <f>Tracking_SI59[[#This Row],[Còn lại so với ĐH]]/Tracking_SI59[[#This Row],[Số  lượng trên ĐH]]</f>
        <v>#DIV/0!</v>
      </c>
      <c r="H148" s="811"/>
      <c r="I148" s="809"/>
      <c r="J148" s="812"/>
      <c r="K148" s="802"/>
      <c r="L148" s="693" t="e">
        <v>#DIV/0!</v>
      </c>
    </row>
    <row r="149" spans="1:19" ht="20.25" customHeight="1">
      <c r="A149" s="57" t="s">
        <v>115</v>
      </c>
      <c r="B149" s="421" t="s">
        <v>277</v>
      </c>
      <c r="C149" s="152"/>
      <c r="D149" s="215">
        <v>46183</v>
      </c>
      <c r="E149" s="348" t="s">
        <v>278</v>
      </c>
      <c r="F149" s="639">
        <v>10000</v>
      </c>
      <c r="G149">
        <f>Tracking_SI59[[#This Row],[Còn lại so với ĐH]]/Tracking_SI59[[#This Row],[Số  lượng trên ĐH]]</f>
        <v>0.52939999999999998</v>
      </c>
      <c r="H149" s="639">
        <f>SUM(H150:H154)</f>
        <v>4706</v>
      </c>
      <c r="I149" s="639">
        <f>Tracking_SI59[[#This Row],[Số  lượng trên ĐH]]-Tracking_SI59[[#This Row],[Số  lượng giao]]</f>
        <v>5294</v>
      </c>
      <c r="J149" s="829">
        <v>43700</v>
      </c>
      <c r="K149" s="326"/>
      <c r="L149"/>
      <c r="P149" s="9"/>
      <c r="Q149" s="9"/>
    </row>
    <row r="150" spans="1:19" ht="20.25" customHeight="1">
      <c r="A150" s="57"/>
      <c r="B150" s="1" t="s">
        <v>277</v>
      </c>
      <c r="C150" s="152"/>
      <c r="D150" s="288">
        <v>46273</v>
      </c>
      <c r="E150" s="30" t="s">
        <v>278</v>
      </c>
      <c r="F150" s="35"/>
      <c r="G150" s="326" t="e">
        <f>Tracking_SI59[[#This Row],[Còn lại so với ĐH]]/Tracking_SI59[[#This Row],[Số  lượng trên ĐH]]</f>
        <v>#DIV/0!</v>
      </c>
      <c r="H150" s="31">
        <v>2548</v>
      </c>
      <c r="I150" s="188"/>
      <c r="J150" s="32"/>
      <c r="K150" s="133"/>
      <c r="L150" s="35"/>
    </row>
    <row r="151" spans="1:19" ht="20.25" customHeight="1">
      <c r="A151" s="57" t="s">
        <v>118</v>
      </c>
      <c r="B151" s="1" t="s">
        <v>277</v>
      </c>
      <c r="C151" s="152"/>
      <c r="D151" s="288">
        <v>46297</v>
      </c>
      <c r="E151" s="30" t="s">
        <v>278</v>
      </c>
      <c r="F151" s="35"/>
      <c r="G151" s="326" t="e">
        <f>Tracking_SI59[[#This Row],[Còn lại so với ĐH]]/Tracking_SI59[[#This Row],[Số  lượng trên ĐH]]</f>
        <v>#DIV/0!</v>
      </c>
      <c r="H151" s="31">
        <v>2158</v>
      </c>
      <c r="I151" s="188"/>
      <c r="J151" s="32"/>
      <c r="K151" s="133"/>
      <c r="L151" s="35"/>
    </row>
    <row r="152" spans="1:19" ht="20.25" customHeight="1">
      <c r="A152" s="57"/>
      <c r="B152" s="1" t="s">
        <v>277</v>
      </c>
      <c r="C152" s="152"/>
      <c r="D152" s="111"/>
      <c r="E152" s="30" t="s">
        <v>278</v>
      </c>
      <c r="F152" s="35"/>
      <c r="G152" s="326" t="e">
        <f>Tracking_SI59[[#This Row],[Còn lại so với ĐH]]/Tracking_SI59[[#This Row],[Số  lượng trên ĐH]]</f>
        <v>#DIV/0!</v>
      </c>
      <c r="H152" s="31"/>
      <c r="I152" s="188"/>
      <c r="J152" s="32"/>
      <c r="K152" s="133"/>
      <c r="L152" s="35"/>
    </row>
    <row r="153" spans="1:19" ht="20.25" customHeight="1">
      <c r="A153" s="57"/>
      <c r="B153" s="1" t="s">
        <v>277</v>
      </c>
      <c r="C153" s="152"/>
      <c r="D153" s="111"/>
      <c r="E153" s="30" t="s">
        <v>278</v>
      </c>
      <c r="F153" s="35"/>
      <c r="G153" s="326" t="e">
        <f>Tracking_SI59[[#This Row],[Còn lại so với ĐH]]/Tracking_SI59[[#This Row],[Số  lượng trên ĐH]]</f>
        <v>#DIV/0!</v>
      </c>
      <c r="H153" s="31"/>
      <c r="I153" s="188"/>
      <c r="J153" s="32"/>
      <c r="K153" s="133"/>
      <c r="L153" s="35"/>
    </row>
    <row r="154" spans="1:19" ht="20.25" customHeight="1">
      <c r="A154" s="57"/>
      <c r="B154" s="1" t="s">
        <v>277</v>
      </c>
      <c r="C154" s="152"/>
      <c r="D154" s="111"/>
      <c r="E154" s="30" t="s">
        <v>278</v>
      </c>
      <c r="F154" s="35"/>
      <c r="G154" s="326" t="e">
        <f>Tracking_SI59[[#This Row],[Còn lại so với ĐH]]/Tracking_SI59[[#This Row],[Số  lượng trên ĐH]]</f>
        <v>#DIV/0!</v>
      </c>
      <c r="H154" s="31"/>
      <c r="I154" s="188"/>
      <c r="J154" s="32"/>
      <c r="K154" s="133"/>
      <c r="L154" s="35"/>
    </row>
    <row r="155" spans="1:19" ht="21" customHeight="1">
      <c r="A155" s="58"/>
      <c r="B155" s="73" t="s">
        <v>213</v>
      </c>
      <c r="C155" s="74" t="s">
        <v>214</v>
      </c>
      <c r="D155" s="75"/>
      <c r="E155" s="75"/>
      <c r="F155" s="76"/>
      <c r="G155" s="323" t="e">
        <f>Tracking_SI59[[#This Row],[Còn lại so với ĐH]]/Tracking_SI59[[#This Row],[Số  lượng trên ĐH]]</f>
        <v>#DIV/0!</v>
      </c>
      <c r="H155" s="220"/>
      <c r="I155" s="203"/>
      <c r="J155" s="77"/>
      <c r="K155" s="136"/>
      <c r="L155" s="77"/>
    </row>
    <row r="156" spans="1:19" ht="21" customHeight="1">
      <c r="A156" s="57"/>
      <c r="B156" s="421" t="s">
        <v>213</v>
      </c>
      <c r="C156" s="152"/>
      <c r="D156" s="341">
        <v>46086</v>
      </c>
      <c r="E156" s="342" t="s">
        <v>212</v>
      </c>
      <c r="F156" s="343">
        <v>15000</v>
      </c>
      <c r="G156" s="326">
        <f>Tracking_SI59[[#This Row],[Còn lại so với ĐH]]/Tracking_SI59[[#This Row],[Số  lượng trên ĐH]]</f>
        <v>6.666666666666667E-5</v>
      </c>
      <c r="H156" s="343">
        <f>SUM(H157:H162)</f>
        <v>14999</v>
      </c>
      <c r="I156" s="601">
        <f>Tracking_SI59[[#This Row],[Số  lượng trên ĐH]]-Tracking_SI59[[#This Row],[Số  lượng giao]]</f>
        <v>1</v>
      </c>
      <c r="J156" s="343"/>
      <c r="K156" s="373" t="s">
        <v>116</v>
      </c>
      <c r="L156" s="35"/>
      <c r="R156" s="9"/>
      <c r="S156" s="9"/>
    </row>
    <row r="157" spans="1:19" ht="21" customHeight="1">
      <c r="A157" s="57"/>
      <c r="B157" s="1" t="s">
        <v>213</v>
      </c>
      <c r="C157" s="152"/>
      <c r="D157" s="108" t="s">
        <v>262</v>
      </c>
      <c r="E157" s="30" t="s">
        <v>212</v>
      </c>
      <c r="F157" s="167"/>
      <c r="G157" s="326" t="e">
        <f>Tracking_SI59[[#This Row],[Còn lại so với ĐH]]/Tracking_SI59[[#This Row],[Số  lượng trên ĐH]]</f>
        <v>#DIV/0!</v>
      </c>
      <c r="H157" s="166">
        <v>10784</v>
      </c>
      <c r="I157" s="608"/>
      <c r="J157" s="344"/>
      <c r="K157" s="133" t="s">
        <v>118</v>
      </c>
      <c r="L157" s="35"/>
      <c r="R157" s="9"/>
      <c r="S157" s="9"/>
    </row>
    <row r="158" spans="1:19" ht="21" customHeight="1">
      <c r="A158" s="57"/>
      <c r="B158" s="1" t="s">
        <v>213</v>
      </c>
      <c r="C158" s="152"/>
      <c r="D158" s="108">
        <v>46141</v>
      </c>
      <c r="E158" s="27" t="s">
        <v>212</v>
      </c>
      <c r="F158" s="167"/>
      <c r="G158" s="326" t="e">
        <f>Tracking_SI59[[#This Row],[Còn lại so với ĐH]]/Tracking_SI59[[#This Row],[Số  lượng trên ĐH]]</f>
        <v>#DIV/0!</v>
      </c>
      <c r="H158" s="166">
        <v>2808</v>
      </c>
      <c r="I158" s="608"/>
      <c r="J158" s="344"/>
      <c r="K158" s="133" t="s">
        <v>118</v>
      </c>
      <c r="L158" s="35"/>
      <c r="R158" s="9"/>
      <c r="S158" s="9"/>
    </row>
    <row r="159" spans="1:19" ht="21" customHeight="1">
      <c r="A159" s="57"/>
      <c r="B159" s="1" t="s">
        <v>213</v>
      </c>
      <c r="C159" s="152"/>
      <c r="D159" s="111">
        <v>46157</v>
      </c>
      <c r="E159" s="30" t="s">
        <v>212</v>
      </c>
      <c r="F159" s="167"/>
      <c r="G159" s="326" t="e">
        <f>Tracking_SI59[[#This Row],[Còn lại so với ĐH]]/Tracking_SI59[[#This Row],[Số  lượng trên ĐH]]</f>
        <v>#DIV/0!</v>
      </c>
      <c r="H159" s="166">
        <v>1119</v>
      </c>
      <c r="I159" s="608"/>
      <c r="J159" s="344"/>
      <c r="K159" s="133" t="s">
        <v>118</v>
      </c>
      <c r="L159" s="35"/>
      <c r="R159" s="9"/>
      <c r="S159" s="9"/>
    </row>
    <row r="160" spans="1:19" ht="21" customHeight="1">
      <c r="A160" s="57"/>
      <c r="B160" s="1" t="s">
        <v>213</v>
      </c>
      <c r="C160" s="152"/>
      <c r="D160" s="108">
        <v>46168</v>
      </c>
      <c r="E160" s="30" t="s">
        <v>212</v>
      </c>
      <c r="F160" s="167"/>
      <c r="G160" s="326" t="e">
        <f>Tracking_SI59[[#This Row],[Còn lại so với ĐH]]/Tracking_SI59[[#This Row],[Số  lượng trên ĐH]]</f>
        <v>#DIV/0!</v>
      </c>
      <c r="H160" s="166">
        <v>288</v>
      </c>
      <c r="I160" s="608"/>
      <c r="J160" s="344"/>
      <c r="K160" s="133" t="s">
        <v>118</v>
      </c>
      <c r="L160" s="35"/>
    </row>
    <row r="161" spans="1:18" ht="21" customHeight="1">
      <c r="A161" s="57"/>
      <c r="B161" s="1" t="s">
        <v>213</v>
      </c>
      <c r="C161" s="152"/>
      <c r="D161" s="111"/>
      <c r="E161" s="30" t="s">
        <v>212</v>
      </c>
      <c r="F161" s="167"/>
      <c r="G161" s="326" t="e">
        <f>Tracking_SI59[[#This Row],[Còn lại so với ĐH]]/Tracking_SI59[[#This Row],[Số  lượng trên ĐH]]</f>
        <v>#DIV/0!</v>
      </c>
      <c r="H161" s="166"/>
      <c r="I161" s="608"/>
      <c r="J161" s="344"/>
      <c r="K161" s="133"/>
      <c r="L161" s="35"/>
    </row>
    <row r="162" spans="1:18" ht="21" customHeight="1">
      <c r="A162" s="57"/>
      <c r="B162" s="1" t="s">
        <v>213</v>
      </c>
      <c r="C162" s="152"/>
      <c r="D162" s="111"/>
      <c r="E162" s="30" t="s">
        <v>212</v>
      </c>
      <c r="F162" s="167"/>
      <c r="G162" s="326" t="e">
        <f>Tracking_SI59[[#This Row],[Còn lại so với ĐH]]/Tracking_SI59[[#This Row],[Số  lượng trên ĐH]]</f>
        <v>#DIV/0!</v>
      </c>
      <c r="H162" s="166"/>
      <c r="I162" s="608"/>
      <c r="J162" s="344"/>
      <c r="K162" s="133"/>
      <c r="L162" s="35"/>
    </row>
    <row r="163" spans="1:18" ht="21" customHeight="1">
      <c r="A163" s="57"/>
      <c r="B163" s="1" t="s">
        <v>213</v>
      </c>
      <c r="C163" s="152"/>
      <c r="D163" s="111"/>
      <c r="E163" s="30"/>
      <c r="F163" s="35"/>
      <c r="G163" s="326" t="e">
        <f>Tracking_SI59[[#This Row],[Còn lại so với ĐH]]/Tracking_SI59[[#This Row],[Số  lượng trên ĐH]]</f>
        <v>#DIV/0!</v>
      </c>
      <c r="H163" s="31"/>
      <c r="I163" s="188"/>
      <c r="J163" s="32"/>
      <c r="K163" s="133"/>
      <c r="L163" s="35"/>
    </row>
    <row r="164" spans="1:18" ht="21" customHeight="1">
      <c r="A164" s="58"/>
      <c r="B164" s="73" t="s">
        <v>272</v>
      </c>
      <c r="C164" s="74" t="s">
        <v>274</v>
      </c>
      <c r="D164" s="75"/>
      <c r="E164" s="75"/>
      <c r="F164" s="220"/>
      <c r="G164" t="e">
        <f>Tracking_SI59[[#This Row],[Còn lại so với ĐH]]/Tracking_SI59[[#This Row],[Số  lượng trên ĐH]]</f>
        <v>#DIV/0!</v>
      </c>
      <c r="H164" s="203"/>
      <c r="I164" s="77"/>
      <c r="J164" s="136"/>
      <c r="K164" s="77"/>
      <c r="L164" s="323"/>
    </row>
    <row r="165" spans="1:18" s="107" customFormat="1" ht="21" customHeight="1">
      <c r="A165" s="535"/>
      <c r="B165" s="535" t="s">
        <v>272</v>
      </c>
      <c r="C165" s="670"/>
      <c r="D165" s="113">
        <v>46154</v>
      </c>
      <c r="E165" s="28" t="s">
        <v>273</v>
      </c>
      <c r="F165" s="165">
        <v>15000</v>
      </c>
      <c r="G165" s="107">
        <f>Tracking_SI59[[#This Row],[Còn lại so với ĐH]]/Tracking_SI59[[#This Row],[Số  lượng trên ĐH]]</f>
        <v>-2.6466666666666666E-2</v>
      </c>
      <c r="H165" s="671">
        <f>SUM(H166:H171)</f>
        <v>15397</v>
      </c>
      <c r="I165" s="165">
        <f>Tracking_SI59[[#This Row],[Số  lượng trên ĐH]]-Tracking_SI59[[#This Row],[Số  lượng giao]]</f>
        <v>-397</v>
      </c>
      <c r="J165" s="138">
        <v>46500</v>
      </c>
      <c r="K165" s="149" t="s">
        <v>116</v>
      </c>
      <c r="L165" s="539"/>
      <c r="Q165" s="672"/>
      <c r="R165" s="672"/>
    </row>
    <row r="166" spans="1:18" ht="21" customHeight="1">
      <c r="A166" s="57"/>
      <c r="B166" s="421" t="s">
        <v>272</v>
      </c>
      <c r="C166" s="152"/>
      <c r="D166" s="108">
        <v>46168</v>
      </c>
      <c r="E166" s="30" t="s">
        <v>273</v>
      </c>
      <c r="F166" s="166"/>
      <c r="G166" t="e">
        <f>Tracking_SI59[[#This Row],[Còn lại so với ĐH]]/Tracking_SI59[[#This Row],[Số  lượng trên ĐH]]</f>
        <v>#DIV/0!</v>
      </c>
      <c r="H166" s="608">
        <v>2280</v>
      </c>
      <c r="I166" s="344"/>
      <c r="J166" s="133"/>
      <c r="K166" s="35" t="s">
        <v>118</v>
      </c>
      <c r="L166" s="326"/>
      <c r="Q166" s="9"/>
      <c r="R166" s="9"/>
    </row>
    <row r="167" spans="1:18" ht="21" customHeight="1">
      <c r="A167" s="57"/>
      <c r="B167" s="421" t="s">
        <v>272</v>
      </c>
      <c r="C167" s="152"/>
      <c r="D167" s="108">
        <v>46175</v>
      </c>
      <c r="E167" s="27" t="s">
        <v>273</v>
      </c>
      <c r="F167" s="166"/>
      <c r="G167" t="e">
        <f>Tracking_SI59[[#This Row],[Còn lại so với ĐH]]/Tracking_SI59[[#This Row],[Số  lượng trên ĐH]]</f>
        <v>#DIV/0!</v>
      </c>
      <c r="H167" s="608">
        <v>4077</v>
      </c>
      <c r="I167" s="344"/>
      <c r="J167" s="133"/>
      <c r="K167" s="35" t="s">
        <v>118</v>
      </c>
      <c r="L167" s="326"/>
      <c r="Q167" s="9"/>
      <c r="R167" s="9"/>
    </row>
    <row r="168" spans="1:18" ht="21" customHeight="1">
      <c r="A168" s="57"/>
      <c r="B168" s="421" t="s">
        <v>272</v>
      </c>
      <c r="C168" s="152"/>
      <c r="D168" s="108">
        <v>46184</v>
      </c>
      <c r="E168" s="27" t="s">
        <v>273</v>
      </c>
      <c r="F168" s="166"/>
      <c r="G168" t="e">
        <f>Tracking_SI59[[#This Row],[Còn lại so với ĐH]]/Tracking_SI59[[#This Row],[Số  lượng trên ĐH]]</f>
        <v>#DIV/0!</v>
      </c>
      <c r="H168" s="166">
        <v>3806</v>
      </c>
      <c r="I168" s="344"/>
      <c r="J168" s="133"/>
      <c r="K168" s="35" t="s">
        <v>118</v>
      </c>
      <c r="L168" s="326"/>
      <c r="Q168" s="9"/>
      <c r="R168" s="9"/>
    </row>
    <row r="169" spans="1:18" ht="21" customHeight="1">
      <c r="A169" s="57"/>
      <c r="B169" s="421" t="s">
        <v>272</v>
      </c>
      <c r="C169" s="152"/>
      <c r="D169" s="108">
        <v>46207</v>
      </c>
      <c r="E169" s="27" t="s">
        <v>273</v>
      </c>
      <c r="F169" s="31"/>
      <c r="G169" t="e">
        <f>Tracking_SI59[[#This Row],[Còn lại so với ĐH]]/Tracking_SI59[[#This Row],[Số  lượng trên ĐH]]</f>
        <v>#DIV/0!</v>
      </c>
      <c r="H169" s="31">
        <v>1279</v>
      </c>
      <c r="I169" s="32"/>
      <c r="J169" s="133"/>
      <c r="K169" s="35" t="s">
        <v>118</v>
      </c>
      <c r="L169" s="326"/>
      <c r="Q169" s="9"/>
      <c r="R169" s="9"/>
    </row>
    <row r="170" spans="1:18" ht="21" customHeight="1">
      <c r="A170" s="57"/>
      <c r="B170" s="421" t="s">
        <v>272</v>
      </c>
      <c r="C170" s="152"/>
      <c r="D170" s="108">
        <v>46218</v>
      </c>
      <c r="E170" s="27" t="s">
        <v>273</v>
      </c>
      <c r="F170" s="31"/>
      <c r="G170" t="e">
        <f>Tracking_SI59[[#This Row],[Còn lại so với ĐH]]/Tracking_SI59[[#This Row],[Số  lượng trên ĐH]]</f>
        <v>#DIV/0!</v>
      </c>
      <c r="H170" s="31">
        <v>1213</v>
      </c>
      <c r="I170" s="32"/>
      <c r="J170" s="133"/>
      <c r="K170" s="35" t="s">
        <v>118</v>
      </c>
      <c r="L170" s="326"/>
      <c r="Q170" s="9"/>
      <c r="R170" s="9"/>
    </row>
    <row r="171" spans="1:18" ht="21" customHeight="1">
      <c r="A171" s="57"/>
      <c r="B171" s="421" t="s">
        <v>272</v>
      </c>
      <c r="C171" s="152"/>
      <c r="D171" s="288">
        <v>46241</v>
      </c>
      <c r="E171" s="27" t="s">
        <v>273</v>
      </c>
      <c r="F171" s="31"/>
      <c r="G171" t="e">
        <f>Tracking_SI59[[#This Row],[Còn lại so với ĐH]]/Tracking_SI59[[#This Row],[Số  lượng trên ĐH]]</f>
        <v>#DIV/0!</v>
      </c>
      <c r="H171" s="31">
        <v>2742</v>
      </c>
      <c r="I171" s="32"/>
      <c r="J171" s="133"/>
      <c r="K171" s="35" t="s">
        <v>118</v>
      </c>
      <c r="L171" s="326"/>
      <c r="Q171" s="9"/>
      <c r="R171" s="9"/>
    </row>
    <row r="172" spans="1:18" ht="21" customHeight="1">
      <c r="A172" s="57"/>
      <c r="B172" s="421" t="s">
        <v>272</v>
      </c>
      <c r="C172" s="152"/>
      <c r="D172" s="341">
        <v>46183</v>
      </c>
      <c r="E172" s="342" t="s">
        <v>278</v>
      </c>
      <c r="F172" s="601">
        <v>10000</v>
      </c>
      <c r="G172">
        <f>Tracking_SI59[[#This Row],[Còn lại so với ĐH]]/Tracking_SI59[[#This Row],[Số  lượng trên ĐH]]</f>
        <v>3.0700000000000002E-2</v>
      </c>
      <c r="H172" s="601">
        <f>SUM(H173:H174)</f>
        <v>9693</v>
      </c>
      <c r="I172" s="343">
        <f>Tracking_SI59[[#This Row],[Số  lượng trên ĐH]]-Tracking_SI59[[#This Row],[Số  lượng giao]]</f>
        <v>307</v>
      </c>
      <c r="J172" s="373">
        <v>43700</v>
      </c>
      <c r="K172" s="35" t="s">
        <v>116</v>
      </c>
      <c r="L172" s="326"/>
      <c r="Q172" s="9"/>
      <c r="R172" s="9"/>
    </row>
    <row r="173" spans="1:18" ht="21" customHeight="1">
      <c r="A173" s="57"/>
      <c r="B173" s="421" t="s">
        <v>272</v>
      </c>
      <c r="C173" s="152"/>
      <c r="D173" s="111">
        <v>46244</v>
      </c>
      <c r="E173" s="30" t="s">
        <v>278</v>
      </c>
      <c r="F173" s="31"/>
      <c r="G173" t="e">
        <f>Tracking_SI59[[#This Row],[Còn lại so với ĐH]]/Tracking_SI59[[#This Row],[Số  lượng trên ĐH]]</f>
        <v>#DIV/0!</v>
      </c>
      <c r="H173" s="31">
        <v>5355</v>
      </c>
      <c r="I173" s="32"/>
      <c r="J173" s="133"/>
      <c r="K173" s="35" t="s">
        <v>118</v>
      </c>
      <c r="L173" s="326"/>
      <c r="Q173" s="9"/>
      <c r="R173" s="9"/>
    </row>
    <row r="174" spans="1:18" ht="21" customHeight="1">
      <c r="A174" s="57"/>
      <c r="B174" s="421" t="s">
        <v>272</v>
      </c>
      <c r="C174" s="152"/>
      <c r="D174" s="111">
        <v>46246</v>
      </c>
      <c r="E174" s="27" t="s">
        <v>278</v>
      </c>
      <c r="F174" s="35"/>
      <c r="G174" s="326" t="e">
        <f>Tracking_SI59[[#This Row],[Còn lại so với ĐH]]/Tracking_SI59[[#This Row],[Số  lượng trên ĐH]]</f>
        <v>#DIV/0!</v>
      </c>
      <c r="H174" s="31">
        <v>4338</v>
      </c>
      <c r="I174" s="188"/>
      <c r="J174" s="32"/>
      <c r="K174" s="831" t="s">
        <v>118</v>
      </c>
      <c r="L174" s="35"/>
    </row>
    <row r="175" spans="1:18" ht="21" customHeight="1">
      <c r="A175" s="57"/>
      <c r="B175" s="421" t="s">
        <v>272</v>
      </c>
      <c r="C175" s="234"/>
      <c r="D175" s="111"/>
      <c r="E175" s="27"/>
      <c r="F175" s="35"/>
      <c r="G175" s="763"/>
      <c r="H175" s="31"/>
      <c r="I175" s="188"/>
      <c r="J175" s="32"/>
      <c r="K175" s="133"/>
      <c r="L175" s="35"/>
      <c r="M175" s="326"/>
    </row>
    <row r="176" spans="1:18" ht="21" customHeight="1">
      <c r="A176" s="57"/>
      <c r="B176" s="421" t="s">
        <v>272</v>
      </c>
      <c r="C176" s="761"/>
      <c r="D176" s="111"/>
      <c r="E176" s="27"/>
      <c r="F176" s="35"/>
      <c r="G176" s="763"/>
      <c r="H176" s="31"/>
      <c r="I176" s="188"/>
      <c r="J176" s="32"/>
      <c r="K176" s="133"/>
      <c r="L176" s="35"/>
      <c r="M176" s="326"/>
    </row>
    <row r="177" spans="1:13" ht="21" customHeight="1">
      <c r="A177" s="57"/>
      <c r="B177" s="421" t="s">
        <v>272</v>
      </c>
      <c r="C177" s="792"/>
      <c r="D177" s="111"/>
      <c r="E177" s="27"/>
      <c r="F177" s="35"/>
      <c r="G177" s="763"/>
      <c r="H177" s="31"/>
      <c r="I177" s="188"/>
      <c r="J177" s="32"/>
      <c r="K177" s="133"/>
      <c r="L177" s="35"/>
      <c r="M177" s="326"/>
    </row>
    <row r="178" spans="1:13" ht="21" customHeight="1">
      <c r="A178" s="58" t="s">
        <v>106</v>
      </c>
      <c r="B178" s="815" t="s">
        <v>349</v>
      </c>
      <c r="C178" s="690" t="s">
        <v>352</v>
      </c>
      <c r="D178" s="805"/>
      <c r="E178" s="805"/>
      <c r="F178" s="813"/>
      <c r="G178" s="816" t="e">
        <f>Tracking_SI59[[#This Row],[Còn lại so với ĐH]]/Tracking_SI59[[#This Row],[Số  lượng trên ĐH]]</f>
        <v>#DIV/0!</v>
      </c>
      <c r="H178" s="817"/>
      <c r="I178" s="802"/>
      <c r="J178" s="803"/>
      <c r="K178" s="802"/>
      <c r="L178" s="818"/>
      <c r="M178" s="326"/>
    </row>
    <row r="179" spans="1:13" ht="21" customHeight="1">
      <c r="A179" s="57" t="s">
        <v>115</v>
      </c>
      <c r="B179" s="421" t="s">
        <v>349</v>
      </c>
      <c r="C179" s="152"/>
      <c r="D179" s="341">
        <v>46301</v>
      </c>
      <c r="E179" s="342" t="s">
        <v>353</v>
      </c>
      <c r="F179" s="601">
        <v>15000</v>
      </c>
      <c r="G179" s="836">
        <f>Tracking_SI59[[#This Row],[Còn lại so với ĐH]]/Tracking_SI59[[#This Row],[Số  lượng trên ĐH]]</f>
        <v>0.64593333333333336</v>
      </c>
      <c r="H179" s="601">
        <f>SUM(H180:H186)</f>
        <v>5311</v>
      </c>
      <c r="I179" s="343">
        <f>Tracking_SI59[[#This Row],[Số  lượng trên ĐH]]-Tracking_SI59[[#This Row],[Số  lượng giao]]</f>
        <v>9689</v>
      </c>
      <c r="J179" s="829"/>
      <c r="K179" s="133"/>
      <c r="L179" s="35"/>
      <c r="M179" s="326"/>
    </row>
    <row r="180" spans="1:13" ht="21" customHeight="1">
      <c r="A180" s="57"/>
      <c r="B180" s="421" t="s">
        <v>349</v>
      </c>
      <c r="C180" s="792"/>
      <c r="D180" s="111">
        <v>46311</v>
      </c>
      <c r="E180" s="791" t="s">
        <v>353</v>
      </c>
      <c r="F180" s="167"/>
      <c r="G180" s="763"/>
      <c r="H180" s="166">
        <v>2657</v>
      </c>
      <c r="I180" s="608"/>
      <c r="J180" s="32"/>
      <c r="K180" s="133"/>
      <c r="L180" s="35"/>
      <c r="M180" s="326"/>
    </row>
    <row r="181" spans="1:13" ht="21" customHeight="1">
      <c r="A181" s="57" t="s">
        <v>118</v>
      </c>
      <c r="B181" s="421" t="s">
        <v>349</v>
      </c>
      <c r="C181" s="792"/>
      <c r="D181" s="111">
        <v>46315</v>
      </c>
      <c r="E181" s="791" t="s">
        <v>353</v>
      </c>
      <c r="F181" s="167"/>
      <c r="G181" s="763"/>
      <c r="H181" s="166">
        <v>2654</v>
      </c>
      <c r="I181" s="608"/>
      <c r="J181" s="32"/>
      <c r="K181" s="133"/>
      <c r="L181" s="35"/>
      <c r="M181" s="326"/>
    </row>
    <row r="182" spans="1:13" ht="21" customHeight="1">
      <c r="A182" s="57"/>
      <c r="B182" s="421" t="s">
        <v>349</v>
      </c>
      <c r="C182" s="792"/>
      <c r="D182" s="111"/>
      <c r="E182" s="791" t="s">
        <v>353</v>
      </c>
      <c r="F182" s="167"/>
      <c r="G182" s="763"/>
      <c r="H182" s="166"/>
      <c r="I182" s="608"/>
      <c r="J182" s="32"/>
      <c r="K182" s="133"/>
      <c r="L182" s="35"/>
      <c r="M182" s="326"/>
    </row>
    <row r="183" spans="1:13" ht="21" customHeight="1">
      <c r="A183" s="57"/>
      <c r="B183" s="421" t="s">
        <v>349</v>
      </c>
      <c r="C183" s="792"/>
      <c r="D183" s="111"/>
      <c r="E183" s="791" t="s">
        <v>353</v>
      </c>
      <c r="F183" s="793"/>
      <c r="G183" s="763"/>
      <c r="H183" s="788"/>
      <c r="I183" s="794"/>
      <c r="J183" s="32"/>
      <c r="K183" s="133"/>
      <c r="L183" s="35"/>
      <c r="M183" s="326"/>
    </row>
    <row r="184" spans="1:13" ht="21" customHeight="1">
      <c r="A184" s="57"/>
      <c r="B184" s="421" t="s">
        <v>349</v>
      </c>
      <c r="C184" s="834"/>
      <c r="D184" s="111"/>
      <c r="E184" s="791" t="s">
        <v>353</v>
      </c>
      <c r="F184" s="35"/>
      <c r="G184" s="763"/>
      <c r="H184" s="31"/>
      <c r="I184" s="188"/>
      <c r="J184" s="32"/>
      <c r="K184" s="133"/>
      <c r="L184" s="35"/>
      <c r="M184" s="326"/>
    </row>
    <row r="185" spans="1:13" ht="21" customHeight="1">
      <c r="A185" s="57"/>
      <c r="B185" s="421" t="s">
        <v>349</v>
      </c>
      <c r="C185" s="834"/>
      <c r="D185" s="111"/>
      <c r="E185" s="791" t="s">
        <v>353</v>
      </c>
      <c r="F185" s="35"/>
      <c r="G185" s="763"/>
      <c r="H185" s="31"/>
      <c r="I185" s="188"/>
      <c r="J185" s="32"/>
      <c r="K185" s="133"/>
      <c r="L185" s="35"/>
      <c r="M185" s="326"/>
    </row>
    <row r="186" spans="1:13" ht="21" customHeight="1">
      <c r="A186" s="57"/>
      <c r="B186" s="421" t="s">
        <v>349</v>
      </c>
      <c r="C186" s="834"/>
      <c r="D186" s="111"/>
      <c r="E186" s="791" t="s">
        <v>353</v>
      </c>
      <c r="F186" s="35"/>
      <c r="G186" s="763"/>
      <c r="H186" s="31"/>
      <c r="I186" s="188"/>
      <c r="J186" s="32"/>
      <c r="K186" s="133"/>
      <c r="L186" s="35"/>
      <c r="M186" s="326"/>
    </row>
    <row r="187" spans="1:13" ht="21" customHeight="1">
      <c r="A187" s="57"/>
      <c r="B187" s="422"/>
      <c r="C187" s="834"/>
      <c r="D187" s="111"/>
      <c r="E187" s="791"/>
      <c r="F187" s="35"/>
      <c r="G187" s="763"/>
      <c r="H187" s="31"/>
      <c r="I187" s="188"/>
      <c r="J187" s="32"/>
      <c r="K187" s="133"/>
      <c r="L187" s="35"/>
      <c r="M187" s="326"/>
    </row>
    <row r="188" spans="1:13" ht="21" customHeight="1">
      <c r="A188" s="58" t="s">
        <v>106</v>
      </c>
      <c r="B188" s="815" t="s">
        <v>350</v>
      </c>
      <c r="C188" s="690" t="s">
        <v>356</v>
      </c>
      <c r="D188" s="805"/>
      <c r="E188" s="805"/>
      <c r="F188" s="813"/>
      <c r="G188" s="816" t="e">
        <f>Tracking_SI59[[#This Row],[Còn lại so với ĐH]]/Tracking_SI59[[#This Row],[Số  lượng trên ĐH]]</f>
        <v>#DIV/0!</v>
      </c>
      <c r="H188" s="817"/>
      <c r="I188" s="802"/>
      <c r="J188" s="803"/>
      <c r="K188" s="802"/>
      <c r="L188" s="818"/>
      <c r="M188" s="326"/>
    </row>
    <row r="189" spans="1:13" ht="21" customHeight="1">
      <c r="A189" s="57"/>
      <c r="B189" s="815" t="s">
        <v>350</v>
      </c>
      <c r="C189" s="152"/>
      <c r="D189" s="341">
        <v>46309</v>
      </c>
      <c r="E189" s="342" t="s">
        <v>355</v>
      </c>
      <c r="F189" s="601">
        <v>20000</v>
      </c>
      <c r="G189" s="836">
        <f>Tracking_SI59[[#This Row],[Còn lại so với ĐH]]/Tracking_SI59[[#This Row],[Số  lượng trên ĐH]]</f>
        <v>1</v>
      </c>
      <c r="H189" s="601">
        <f>SUM(H190:H196)</f>
        <v>0</v>
      </c>
      <c r="I189" s="343">
        <f>Tracking_SI59[[#This Row],[Số  lượng trên ĐH]]-Tracking_SI59[[#This Row],[Số  lượng giao]]</f>
        <v>20000</v>
      </c>
      <c r="J189" s="32"/>
      <c r="K189" s="133"/>
      <c r="L189" s="35"/>
      <c r="M189" s="326"/>
    </row>
    <row r="190" spans="1:13" ht="21" customHeight="1">
      <c r="A190" s="57"/>
      <c r="B190" s="350" t="s">
        <v>350</v>
      </c>
      <c r="C190" s="834"/>
      <c r="D190" s="111"/>
      <c r="E190" s="791"/>
      <c r="F190" s="35"/>
      <c r="G190" s="763"/>
      <c r="H190" s="31"/>
      <c r="I190" s="188"/>
      <c r="J190" s="32"/>
      <c r="K190" s="133"/>
      <c r="L190" s="35"/>
      <c r="M190" s="326"/>
    </row>
    <row r="191" spans="1:13" ht="21" customHeight="1">
      <c r="A191" s="57"/>
      <c r="B191" s="350" t="s">
        <v>350</v>
      </c>
      <c r="C191" s="834"/>
      <c r="D191" s="111"/>
      <c r="E191" s="791"/>
      <c r="F191" s="35"/>
      <c r="G191" s="763"/>
      <c r="H191" s="31"/>
      <c r="I191" s="188"/>
      <c r="J191" s="32"/>
      <c r="K191" s="133"/>
      <c r="L191" s="35"/>
      <c r="M191" s="326"/>
    </row>
    <row r="192" spans="1:13" ht="21" customHeight="1">
      <c r="A192" s="57"/>
      <c r="B192" s="350" t="s">
        <v>350</v>
      </c>
      <c r="C192" s="834"/>
      <c r="D192" s="111"/>
      <c r="E192" s="791"/>
      <c r="F192" s="35"/>
      <c r="G192" s="763"/>
      <c r="H192" s="31"/>
      <c r="I192" s="188"/>
      <c r="J192" s="32"/>
      <c r="K192" s="133"/>
      <c r="L192" s="35"/>
      <c r="M192" s="326"/>
    </row>
    <row r="193" spans="1:13" ht="21" customHeight="1">
      <c r="A193" s="57"/>
      <c r="B193" s="350" t="s">
        <v>350</v>
      </c>
      <c r="C193" s="834"/>
      <c r="D193" s="111"/>
      <c r="E193" s="791"/>
      <c r="F193" s="35"/>
      <c r="G193" s="763"/>
      <c r="H193" s="31"/>
      <c r="I193" s="188"/>
      <c r="J193" s="32"/>
      <c r="K193" s="133"/>
      <c r="L193" s="35"/>
      <c r="M193" s="326"/>
    </row>
    <row r="194" spans="1:13" ht="21" customHeight="1">
      <c r="A194" s="57"/>
      <c r="B194" s="350" t="s">
        <v>350</v>
      </c>
      <c r="C194" s="834"/>
      <c r="D194" s="111"/>
      <c r="E194" s="791"/>
      <c r="F194" s="35"/>
      <c r="G194" s="763"/>
      <c r="H194" s="31"/>
      <c r="I194" s="188"/>
      <c r="J194" s="32"/>
      <c r="K194" s="133"/>
      <c r="L194" s="35"/>
      <c r="M194" s="326"/>
    </row>
    <row r="195" spans="1:13" ht="21" customHeight="1">
      <c r="A195" s="57"/>
      <c r="B195" s="350" t="s">
        <v>350</v>
      </c>
      <c r="C195" s="835"/>
      <c r="D195" s="111"/>
      <c r="E195" s="791"/>
      <c r="F195" s="35"/>
      <c r="G195" s="763"/>
      <c r="H195" s="31"/>
      <c r="I195" s="188"/>
      <c r="J195" s="32"/>
      <c r="K195" s="133"/>
      <c r="L195" s="35"/>
      <c r="M195" s="326"/>
    </row>
    <row r="196" spans="1:13" ht="21" customHeight="1">
      <c r="A196" s="57"/>
      <c r="B196" s="350" t="s">
        <v>350</v>
      </c>
      <c r="C196" s="835"/>
      <c r="D196" s="111"/>
      <c r="E196" s="791"/>
      <c r="F196" s="35"/>
      <c r="G196" s="763"/>
      <c r="H196" s="31"/>
      <c r="I196" s="188"/>
      <c r="J196" s="32"/>
      <c r="K196" s="133"/>
      <c r="L196" s="35"/>
      <c r="M196" s="326"/>
    </row>
    <row r="197" spans="1:13" ht="21" customHeight="1">
      <c r="A197" s="57"/>
      <c r="B197" s="422"/>
      <c r="C197" s="835"/>
      <c r="D197" s="111"/>
      <c r="E197" s="791"/>
      <c r="F197" s="35"/>
      <c r="G197" s="763"/>
      <c r="H197" s="31"/>
      <c r="I197" s="188"/>
      <c r="J197" s="32"/>
      <c r="K197" s="133"/>
      <c r="L197" s="35"/>
      <c r="M197" s="326"/>
    </row>
    <row r="198" spans="1:13" ht="21" customHeight="1">
      <c r="A198" s="57"/>
      <c r="B198" s="422"/>
      <c r="C198" s="835"/>
      <c r="D198" s="111"/>
      <c r="E198" s="791"/>
      <c r="F198" s="35"/>
      <c r="G198" s="763"/>
      <c r="H198" s="31"/>
      <c r="I198" s="188"/>
      <c r="J198" s="32"/>
      <c r="K198" s="133"/>
      <c r="L198" s="35"/>
      <c r="M198" s="326"/>
    </row>
    <row r="199" spans="1:13" ht="21" customHeight="1">
      <c r="A199" s="58" t="s">
        <v>106</v>
      </c>
      <c r="B199" s="815" t="s">
        <v>36</v>
      </c>
      <c r="C199" s="690" t="s">
        <v>300</v>
      </c>
      <c r="D199" s="805"/>
      <c r="E199" s="805"/>
      <c r="F199" s="800"/>
      <c r="G199" s="819" t="e">
        <f>Tracking_SI59[[#This Row],[Còn lại so với ĐH]]/Tracking_SI59[[#This Row],[Số  lượng trên ĐH]]</f>
        <v>#DIV/0!</v>
      </c>
      <c r="H199" s="813"/>
      <c r="I199" s="817"/>
      <c r="J199" s="802"/>
      <c r="K199" s="803"/>
      <c r="L199" s="802"/>
    </row>
    <row r="200" spans="1:13" s="16" customFormat="1" ht="20.25" customHeight="1">
      <c r="A200" s="289"/>
      <c r="B200" s="289" t="s">
        <v>36</v>
      </c>
      <c r="C200" s="596"/>
      <c r="D200" s="111">
        <v>46077</v>
      </c>
      <c r="E200" s="25" t="s">
        <v>209</v>
      </c>
      <c r="F200" s="163">
        <v>10000</v>
      </c>
      <c r="G200" s="597">
        <f>Tracking_SI59[[#This Row],[Còn lại so với ĐH]]/Tracking_SI59[[#This Row],[Số  lượng trên ĐH]]</f>
        <v>0</v>
      </c>
      <c r="H200" s="163">
        <f>SUM(H201)</f>
        <v>10000</v>
      </c>
      <c r="I200" s="191">
        <f>Tracking_SI59[[#This Row],[Số  lượng trên ĐH]]-Tracking_SI59[[#This Row],[Số  lượng giao]]</f>
        <v>0</v>
      </c>
      <c r="J200" s="37"/>
      <c r="K200" s="357" t="s">
        <v>116</v>
      </c>
      <c r="L200" s="470"/>
    </row>
    <row r="201" spans="1:13" ht="21" customHeight="1">
      <c r="A201" s="57"/>
      <c r="B201" s="57" t="s">
        <v>36</v>
      </c>
      <c r="C201" s="319"/>
      <c r="D201" s="30" t="s">
        <v>262</v>
      </c>
      <c r="E201" s="30" t="s">
        <v>209</v>
      </c>
      <c r="F201" s="164"/>
      <c r="G201" s="323" t="e">
        <f>Tracking_SI59[[#This Row],[Còn lại so với ĐH]]/Tracking_SI59[[#This Row],[Số  lượng trên ĐH]]</f>
        <v>#DIV/0!</v>
      </c>
      <c r="H201" s="164">
        <v>10000</v>
      </c>
      <c r="I201" s="323"/>
      <c r="J201" s="127"/>
      <c r="K201" s="323" t="s">
        <v>118</v>
      </c>
      <c r="L201" s="127"/>
    </row>
    <row r="202" spans="1:13" ht="21" customHeight="1">
      <c r="A202" s="57"/>
      <c r="B202" s="421" t="s">
        <v>36</v>
      </c>
      <c r="C202" s="319"/>
      <c r="D202" s="341">
        <v>46140</v>
      </c>
      <c r="E202" s="342" t="s">
        <v>263</v>
      </c>
      <c r="F202" s="343">
        <v>20000</v>
      </c>
      <c r="G202" s="697">
        <f>Tracking_SI59[[#This Row],[Còn lại so với ĐH]]/Tracking_SI59[[#This Row],[Số  lượng trên ĐH]]</f>
        <v>1.6000000000000001E-3</v>
      </c>
      <c r="H202" s="343">
        <f>SUM(H203:H209)</f>
        <v>19968</v>
      </c>
      <c r="I202" s="378">
        <f>Tracking_SI59[[#This Row],[Số  lượng trên ĐH]]-Tracking_SI59[[#This Row],[Số  lượng giao]]</f>
        <v>32</v>
      </c>
      <c r="J202" s="343"/>
      <c r="K202" s="373" t="s">
        <v>116</v>
      </c>
      <c r="L202" s="26"/>
    </row>
    <row r="203" spans="1:13" ht="21" customHeight="1">
      <c r="A203" s="57"/>
      <c r="B203" s="57" t="s">
        <v>36</v>
      </c>
      <c r="C203" s="319"/>
      <c r="D203" s="108">
        <v>46141</v>
      </c>
      <c r="E203" s="27" t="s">
        <v>263</v>
      </c>
      <c r="F203" s="164"/>
      <c r="G203" s="323" t="e">
        <f>Tracking_SI59[[#This Row],[Còn lại so với ĐH]]/Tracking_SI59[[#This Row],[Số  lượng trên ĐH]]</f>
        <v>#DIV/0!</v>
      </c>
      <c r="H203" s="164">
        <v>3408</v>
      </c>
      <c r="I203" s="609"/>
      <c r="J203" s="618"/>
      <c r="K203" s="450" t="s">
        <v>118</v>
      </c>
      <c r="L203" s="26"/>
    </row>
    <row r="204" spans="1:13" ht="21" customHeight="1">
      <c r="A204" s="57"/>
      <c r="B204" s="57" t="s">
        <v>36</v>
      </c>
      <c r="C204" s="319"/>
      <c r="D204" s="108">
        <v>46148</v>
      </c>
      <c r="E204" s="27" t="s">
        <v>263</v>
      </c>
      <c r="F204" s="164"/>
      <c r="G204" s="323" t="e">
        <f>Tracking_SI59[[#This Row],[Còn lại so với ĐH]]/Tracking_SI59[[#This Row],[Số  lượng trên ĐH]]</f>
        <v>#DIV/0!</v>
      </c>
      <c r="H204" s="164">
        <v>1049</v>
      </c>
      <c r="I204" s="620"/>
      <c r="J204" s="164"/>
      <c r="K204" s="450" t="s">
        <v>118</v>
      </c>
      <c r="L204" s="26"/>
    </row>
    <row r="205" spans="1:13" ht="21" customHeight="1">
      <c r="A205" s="57"/>
      <c r="B205" s="57" t="s">
        <v>36</v>
      </c>
      <c r="C205" s="319"/>
      <c r="D205" s="108">
        <v>46151</v>
      </c>
      <c r="E205" s="27" t="s">
        <v>263</v>
      </c>
      <c r="F205" s="164"/>
      <c r="G205" s="323" t="e">
        <f>Tracking_SI59[[#This Row],[Còn lại so với ĐH]]/Tracking_SI59[[#This Row],[Số  lượng trên ĐH]]</f>
        <v>#DIV/0!</v>
      </c>
      <c r="H205" s="164">
        <v>2883</v>
      </c>
      <c r="I205" s="609"/>
      <c r="J205" s="618"/>
      <c r="K205" s="450" t="s">
        <v>118</v>
      </c>
      <c r="L205" s="26"/>
    </row>
    <row r="206" spans="1:13" ht="21" customHeight="1">
      <c r="A206" s="57"/>
      <c r="B206" s="57" t="s">
        <v>36</v>
      </c>
      <c r="C206" s="319"/>
      <c r="D206" s="108">
        <v>46153</v>
      </c>
      <c r="E206" s="27" t="s">
        <v>263</v>
      </c>
      <c r="F206" s="164"/>
      <c r="G206" s="323" t="e">
        <f>Tracking_SI59[[#This Row],[Còn lại so với ĐH]]/Tracking_SI59[[#This Row],[Số  lượng trên ĐH]]</f>
        <v>#DIV/0!</v>
      </c>
      <c r="H206" s="164">
        <v>2370</v>
      </c>
      <c r="I206" s="609"/>
      <c r="J206" s="618"/>
      <c r="K206" s="450" t="s">
        <v>118</v>
      </c>
      <c r="L206" s="26"/>
    </row>
    <row r="207" spans="1:13" ht="21" customHeight="1">
      <c r="A207" s="57"/>
      <c r="B207" s="57" t="s">
        <v>36</v>
      </c>
      <c r="C207" s="319"/>
      <c r="D207" s="108">
        <v>46157</v>
      </c>
      <c r="E207" s="27" t="s">
        <v>263</v>
      </c>
      <c r="F207" s="164"/>
      <c r="G207" s="323" t="e">
        <f>Tracking_SI59[[#This Row],[Còn lại so với ĐH]]/Tracking_SI59[[#This Row],[Số  lượng trên ĐH]]</f>
        <v>#DIV/0!</v>
      </c>
      <c r="H207" s="164">
        <v>1284</v>
      </c>
      <c r="I207" s="609"/>
      <c r="J207" s="618"/>
      <c r="K207" s="450" t="s">
        <v>118</v>
      </c>
      <c r="L207" s="26"/>
    </row>
    <row r="208" spans="1:13" ht="21" customHeight="1">
      <c r="A208" s="57"/>
      <c r="B208" s="57" t="s">
        <v>36</v>
      </c>
      <c r="C208" s="319"/>
      <c r="D208" s="108">
        <v>46161</v>
      </c>
      <c r="E208" s="27" t="s">
        <v>263</v>
      </c>
      <c r="F208" s="164"/>
      <c r="G208" s="323" t="e">
        <f>Tracking_SI59[[#This Row],[Còn lại so với ĐH]]/Tracking_SI59[[#This Row],[Số  lượng trên ĐH]]</f>
        <v>#DIV/0!</v>
      </c>
      <c r="H208" s="164">
        <v>3998</v>
      </c>
      <c r="I208" s="609"/>
      <c r="J208" s="618"/>
      <c r="K208" s="450" t="s">
        <v>118</v>
      </c>
      <c r="L208" s="26"/>
    </row>
    <row r="209" spans="1:13" ht="21" customHeight="1">
      <c r="A209" s="57"/>
      <c r="B209" s="57" t="s">
        <v>36</v>
      </c>
      <c r="C209" s="319"/>
      <c r="D209" s="108">
        <v>46168</v>
      </c>
      <c r="E209" s="27" t="s">
        <v>263</v>
      </c>
      <c r="F209" s="164"/>
      <c r="G209" s="323" t="e">
        <f>Tracking_SI59[[#This Row],[Còn lại so với ĐH]]/Tracking_SI59[[#This Row],[Số  lượng trên ĐH]]</f>
        <v>#DIV/0!</v>
      </c>
      <c r="H209" s="619">
        <v>4976</v>
      </c>
      <c r="I209" s="609"/>
      <c r="J209" s="37"/>
      <c r="K209" s="450" t="s">
        <v>118</v>
      </c>
      <c r="L209" s="26"/>
    </row>
    <row r="210" spans="1:13" ht="21" customHeight="1">
      <c r="A210" s="57"/>
      <c r="B210" s="421" t="s">
        <v>36</v>
      </c>
      <c r="C210" s="319"/>
      <c r="D210" s="111">
        <v>46144</v>
      </c>
      <c r="E210" s="25" t="s">
        <v>267</v>
      </c>
      <c r="F210" s="163">
        <v>25000</v>
      </c>
      <c r="G210" s="597">
        <f>Tracking_SI59[[#This Row],[Còn lại so với ĐH]]/Tracking_SI59[[#This Row],[Số  lượng trên ĐH]]</f>
        <v>-6.9199999999999998E-2</v>
      </c>
      <c r="H210" s="163">
        <f>SUM(H211:H217)</f>
        <v>26730</v>
      </c>
      <c r="I210" s="605">
        <f>Tracking_SI59[[#This Row],[Số  lượng trên ĐH]]-Tracking_SI59[[#This Row],[Số  lượng giao]]</f>
        <v>-1730</v>
      </c>
      <c r="J210" s="130">
        <v>46900</v>
      </c>
      <c r="K210" s="632" t="s">
        <v>343</v>
      </c>
      <c r="L210" s="32"/>
    </row>
    <row r="211" spans="1:13" ht="21" customHeight="1">
      <c r="A211" s="57"/>
      <c r="B211" s="57" t="s">
        <v>36</v>
      </c>
      <c r="C211" s="319"/>
      <c r="D211" s="108">
        <v>46184</v>
      </c>
      <c r="E211" s="30" t="s">
        <v>267</v>
      </c>
      <c r="F211" s="164"/>
      <c r="G211" s="323" t="e">
        <f>Tracking_SI59[[#This Row],[Còn lại so với ĐH]]/Tracking_SI59[[#This Row],[Số  lượng trên ĐH]]</f>
        <v>#DIV/0!</v>
      </c>
      <c r="H211" s="164">
        <v>11831</v>
      </c>
      <c r="I211" s="609"/>
      <c r="J211" s="618"/>
      <c r="K211" s="185" t="s">
        <v>118</v>
      </c>
      <c r="L211" s="26"/>
    </row>
    <row r="212" spans="1:13" ht="21" customHeight="1">
      <c r="A212" s="57"/>
      <c r="B212" s="57" t="s">
        <v>36</v>
      </c>
      <c r="C212" s="319"/>
      <c r="D212" s="108">
        <v>46185</v>
      </c>
      <c r="E212" s="30" t="s">
        <v>267</v>
      </c>
      <c r="F212" s="164"/>
      <c r="G212" s="323" t="e">
        <f>Tracking_SI59[[#This Row],[Còn lại so với ĐH]]/Tracking_SI59[[#This Row],[Số  lượng trên ĐH]]</f>
        <v>#DIV/0!</v>
      </c>
      <c r="H212" s="619">
        <v>2629</v>
      </c>
      <c r="I212" s="609"/>
      <c r="J212" s="618"/>
      <c r="K212" s="185" t="s">
        <v>118</v>
      </c>
      <c r="L212" s="26"/>
    </row>
    <row r="213" spans="1:13" ht="21" customHeight="1">
      <c r="A213" s="57"/>
      <c r="B213" s="57" t="s">
        <v>36</v>
      </c>
      <c r="C213" s="319"/>
      <c r="D213" s="108">
        <v>46200</v>
      </c>
      <c r="E213" s="30" t="s">
        <v>267</v>
      </c>
      <c r="F213" s="164"/>
      <c r="G213" s="323" t="e">
        <f>Tracking_SI59[[#This Row],[Còn lại so với ĐH]]/Tracking_SI59[[#This Row],[Số  lượng trên ĐH]]</f>
        <v>#DIV/0!</v>
      </c>
      <c r="H213" s="619">
        <v>3170</v>
      </c>
      <c r="I213" s="609"/>
      <c r="J213" s="618"/>
      <c r="K213" s="185" t="s">
        <v>118</v>
      </c>
      <c r="L213" s="26"/>
    </row>
    <row r="214" spans="1:13" ht="21" customHeight="1">
      <c r="A214" s="57"/>
      <c r="B214" s="57" t="s">
        <v>36</v>
      </c>
      <c r="C214" s="319"/>
      <c r="D214" s="108">
        <v>46207</v>
      </c>
      <c r="E214" s="30" t="s">
        <v>267</v>
      </c>
      <c r="F214" s="164"/>
      <c r="G214" s="323" t="e">
        <f>Tracking_SI59[[#This Row],[Còn lại so với ĐH]]/Tracking_SI59[[#This Row],[Số  lượng trên ĐH]]</f>
        <v>#DIV/0!</v>
      </c>
      <c r="H214" s="619">
        <v>2657</v>
      </c>
      <c r="I214" s="609"/>
      <c r="J214" s="618"/>
      <c r="K214" s="185" t="s">
        <v>118</v>
      </c>
      <c r="L214" s="26"/>
    </row>
    <row r="215" spans="1:13" ht="21" customHeight="1">
      <c r="A215" s="57"/>
      <c r="B215" s="57" t="s">
        <v>36</v>
      </c>
      <c r="C215" s="319"/>
      <c r="D215" s="108">
        <v>46218</v>
      </c>
      <c r="E215" s="30" t="s">
        <v>267</v>
      </c>
      <c r="F215" s="164"/>
      <c r="G215" s="323" t="e">
        <f>Tracking_SI59[[#This Row],[Còn lại so với ĐH]]/Tracking_SI59[[#This Row],[Số  lượng trên ĐH]]</f>
        <v>#DIV/0!</v>
      </c>
      <c r="H215" s="619">
        <v>1243</v>
      </c>
      <c r="I215" s="609"/>
      <c r="J215" s="618"/>
      <c r="K215" s="185" t="s">
        <v>118</v>
      </c>
      <c r="L215" s="26"/>
    </row>
    <row r="216" spans="1:13" ht="21" customHeight="1">
      <c r="A216" s="57"/>
      <c r="B216" s="57" t="s">
        <v>36</v>
      </c>
      <c r="C216" s="319"/>
      <c r="D216" s="108">
        <v>46260</v>
      </c>
      <c r="E216" s="30" t="s">
        <v>267</v>
      </c>
      <c r="F216" s="164"/>
      <c r="G216" s="323" t="e">
        <f>Tracking_SI59[[#This Row],[Còn lại so với ĐH]]/Tracking_SI59[[#This Row],[Số  lượng trên ĐH]]</f>
        <v>#DIV/0!</v>
      </c>
      <c r="H216" s="619">
        <v>3069</v>
      </c>
      <c r="I216" s="609"/>
      <c r="J216" s="618"/>
      <c r="K216" s="185" t="s">
        <v>118</v>
      </c>
      <c r="L216" s="26"/>
    </row>
    <row r="217" spans="1:13" ht="21" customHeight="1">
      <c r="A217" s="57"/>
      <c r="B217" s="57" t="s">
        <v>36</v>
      </c>
      <c r="C217" s="319"/>
      <c r="D217" s="108">
        <v>46276</v>
      </c>
      <c r="E217" s="30" t="s">
        <v>267</v>
      </c>
      <c r="F217" s="164"/>
      <c r="G217" s="323" t="e">
        <f>Tracking_SI59[[#This Row],[Còn lại so với ĐH]]/Tracking_SI59[[#This Row],[Số  lượng trên ĐH]]</f>
        <v>#DIV/0!</v>
      </c>
      <c r="H217" s="619">
        <v>2131</v>
      </c>
      <c r="I217" s="609"/>
      <c r="J217" s="618"/>
      <c r="K217" s="185" t="s">
        <v>118</v>
      </c>
      <c r="L217" s="26"/>
    </row>
    <row r="218" spans="1:13" ht="21" customHeight="1">
      <c r="A218" s="57" t="s">
        <v>115</v>
      </c>
      <c r="B218" s="421" t="s">
        <v>36</v>
      </c>
      <c r="C218" s="319"/>
      <c r="D218" s="341">
        <v>46149</v>
      </c>
      <c r="E218" s="342" t="s">
        <v>271</v>
      </c>
      <c r="F218" s="343">
        <v>25000</v>
      </c>
      <c r="G218" s="697">
        <f>Tracking_SI59[[#This Row],[Còn lại so với ĐH]]/Tracking_SI59[[#This Row],[Số  lượng trên ĐH]]</f>
        <v>0</v>
      </c>
      <c r="H218" s="343">
        <f>SUM(H219:H223)</f>
        <v>25000</v>
      </c>
      <c r="I218" s="378">
        <f>Tracking_SI59[[#This Row],[Số  lượng trên ĐH]]-Tracking_SI59[[#This Row],[Số  lượng giao]]</f>
        <v>0</v>
      </c>
      <c r="J218" s="601">
        <v>46900</v>
      </c>
      <c r="K218" s="601" t="s">
        <v>282</v>
      </c>
      <c r="L218" s="26"/>
    </row>
    <row r="219" spans="1:13" ht="21" customHeight="1">
      <c r="A219" s="57"/>
      <c r="B219" s="57" t="s">
        <v>36</v>
      </c>
      <c r="C219" s="319"/>
      <c r="D219" s="108">
        <v>46291</v>
      </c>
      <c r="E219" s="30" t="s">
        <v>271</v>
      </c>
      <c r="F219" s="164"/>
      <c r="G219" s="323" t="e">
        <f>Tracking_SI59[[#This Row],[Còn lại so với ĐH]]/Tracking_SI59[[#This Row],[Số  lượng trên ĐH]]</f>
        <v>#DIV/0!</v>
      </c>
      <c r="H219" s="619">
        <v>3996</v>
      </c>
      <c r="I219" s="609"/>
      <c r="J219" s="618"/>
      <c r="K219" s="450" t="s">
        <v>118</v>
      </c>
      <c r="L219" s="26"/>
    </row>
    <row r="220" spans="1:13" ht="21" customHeight="1">
      <c r="A220" s="57"/>
      <c r="B220" s="57" t="s">
        <v>36</v>
      </c>
      <c r="C220" s="319"/>
      <c r="D220" s="108">
        <v>46294</v>
      </c>
      <c r="E220" s="30" t="s">
        <v>271</v>
      </c>
      <c r="F220" s="164"/>
      <c r="G220" s="323" t="e">
        <f>Tracking_SI59[[#This Row],[Còn lại so với ĐH]]/Tracking_SI59[[#This Row],[Số  lượng trên ĐH]]</f>
        <v>#DIV/0!</v>
      </c>
      <c r="H220" s="619">
        <v>2180</v>
      </c>
      <c r="I220" s="609"/>
      <c r="J220" s="618"/>
      <c r="K220" s="450" t="s">
        <v>118</v>
      </c>
      <c r="L220" s="26"/>
    </row>
    <row r="221" spans="1:13" ht="21" customHeight="1">
      <c r="A221" s="57"/>
      <c r="B221" s="57" t="s">
        <v>36</v>
      </c>
      <c r="C221" s="319"/>
      <c r="D221" s="108">
        <v>46300</v>
      </c>
      <c r="E221" s="30" t="s">
        <v>271</v>
      </c>
      <c r="F221" s="164"/>
      <c r="G221" s="323" t="e">
        <f>Tracking_SI59[[#This Row],[Còn lại so với ĐH]]/Tracking_SI59[[#This Row],[Số  lượng trên ĐH]]</f>
        <v>#DIV/0!</v>
      </c>
      <c r="H221" s="619">
        <f>7903+8967</f>
        <v>16870</v>
      </c>
      <c r="I221" s="609"/>
      <c r="J221" s="618"/>
      <c r="K221" s="450" t="s">
        <v>118</v>
      </c>
      <c r="L221" s="26"/>
    </row>
    <row r="222" spans="1:13" ht="21" customHeight="1">
      <c r="A222" s="57"/>
      <c r="B222" s="57" t="s">
        <v>36</v>
      </c>
      <c r="C222" s="319"/>
      <c r="D222" s="108">
        <v>46302</v>
      </c>
      <c r="E222" s="30" t="s">
        <v>271</v>
      </c>
      <c r="F222" s="169"/>
      <c r="G222" s="323" t="e">
        <f>Tracking_SI59[[#This Row],[Còn lại so với ĐH]]/Tracking_SI59[[#This Row],[Số  lượng trên ĐH]]</f>
        <v>#DIV/0!</v>
      </c>
      <c r="H222" s="164">
        <v>610</v>
      </c>
      <c r="I222" s="619"/>
      <c r="J222" s="618"/>
      <c r="K222" s="450" t="s">
        <v>118</v>
      </c>
      <c r="L222" s="26"/>
    </row>
    <row r="223" spans="1:13" ht="21" customHeight="1">
      <c r="A223" s="57"/>
      <c r="B223" s="57" t="s">
        <v>36</v>
      </c>
      <c r="C223" s="785"/>
      <c r="D223" s="108">
        <v>46308</v>
      </c>
      <c r="E223" s="30" t="s">
        <v>271</v>
      </c>
      <c r="F223" s="169"/>
      <c r="G223" s="323" t="e">
        <f>Tracking_SI59[[#This Row],[Còn lại so với ĐH]]/Tracking_SI59[[#This Row],[Số  lượng trên ĐH]]</f>
        <v>#DIV/0!</v>
      </c>
      <c r="H223" s="166">
        <v>1344</v>
      </c>
      <c r="I223" s="619"/>
      <c r="J223" s="618"/>
      <c r="K223" s="450" t="s">
        <v>118</v>
      </c>
      <c r="L223" s="26"/>
      <c r="M223" s="326"/>
    </row>
    <row r="224" spans="1:13" ht="21" customHeight="1">
      <c r="A224" s="57" t="s">
        <v>115</v>
      </c>
      <c r="B224" s="57" t="s">
        <v>36</v>
      </c>
      <c r="C224" s="785"/>
      <c r="D224" s="341">
        <v>46296</v>
      </c>
      <c r="E224" s="342" t="s">
        <v>354</v>
      </c>
      <c r="F224" s="343">
        <v>20000</v>
      </c>
      <c r="G224" s="697">
        <f>Tracking_SI59[[#This Row],[Còn lại so với ĐH]]/Tracking_SI59[[#This Row],[Số  lượng trên ĐH]]</f>
        <v>0.60624999999999996</v>
      </c>
      <c r="H224" s="343">
        <f>SUM(H225:H229)</f>
        <v>7875</v>
      </c>
      <c r="I224" s="378">
        <f>Tracking_SI59[[#This Row],[Số  lượng trên ĐH]]-Tracking_SI59[[#This Row],[Số  lượng giao]]</f>
        <v>12125</v>
      </c>
      <c r="J224" s="601"/>
      <c r="K224" s="601"/>
      <c r="L224" s="26"/>
      <c r="M224" s="326"/>
    </row>
    <row r="225" spans="1:13" ht="21" customHeight="1">
      <c r="A225" s="57"/>
      <c r="B225" s="57" t="s">
        <v>36</v>
      </c>
      <c r="C225" s="786"/>
      <c r="D225" s="215">
        <v>46308</v>
      </c>
      <c r="E225" s="309" t="s">
        <v>354</v>
      </c>
      <c r="F225" s="349"/>
      <c r="G225" s="763"/>
      <c r="H225" s="166">
        <v>1123</v>
      </c>
      <c r="I225" s="623"/>
      <c r="J225" s="610"/>
      <c r="K225" s="133"/>
      <c r="L225" s="26"/>
      <c r="M225" s="326"/>
    </row>
    <row r="226" spans="1:13" ht="21" customHeight="1">
      <c r="A226" s="57"/>
      <c r="B226" s="57" t="s">
        <v>36</v>
      </c>
      <c r="C226" s="786"/>
      <c r="D226" s="215">
        <v>46309</v>
      </c>
      <c r="E226" s="309" t="s">
        <v>354</v>
      </c>
      <c r="F226" s="349"/>
      <c r="G226" s="763"/>
      <c r="H226" s="166">
        <v>2752</v>
      </c>
      <c r="I226" s="623"/>
      <c r="J226" s="610"/>
      <c r="K226" s="133"/>
      <c r="L226" s="26"/>
      <c r="M226" s="326"/>
    </row>
    <row r="227" spans="1:13" ht="21" customHeight="1">
      <c r="A227" s="57" t="s">
        <v>118</v>
      </c>
      <c r="B227" s="57" t="s">
        <v>36</v>
      </c>
      <c r="C227" s="786"/>
      <c r="D227" s="215">
        <v>46315</v>
      </c>
      <c r="E227" s="309" t="s">
        <v>354</v>
      </c>
      <c r="F227" s="349"/>
      <c r="G227" s="763"/>
      <c r="H227" s="166">
        <v>4000</v>
      </c>
      <c r="I227" s="623"/>
      <c r="J227" s="610"/>
      <c r="K227" s="133"/>
      <c r="L227" s="26"/>
      <c r="M227" s="326"/>
    </row>
    <row r="228" spans="1:13" ht="21" customHeight="1">
      <c r="A228" s="57"/>
      <c r="B228" s="57" t="s">
        <v>36</v>
      </c>
      <c r="C228" s="46"/>
      <c r="D228" s="215"/>
      <c r="E228" s="309" t="s">
        <v>354</v>
      </c>
      <c r="F228" s="349"/>
      <c r="G228" s="763"/>
      <c r="H228" s="166"/>
      <c r="I228" s="623"/>
      <c r="J228" s="610"/>
      <c r="K228" s="133"/>
      <c r="L228" s="26"/>
      <c r="M228" s="326"/>
    </row>
    <row r="229" spans="1:13" ht="21" customHeight="1">
      <c r="A229" s="57"/>
      <c r="B229" s="57" t="s">
        <v>36</v>
      </c>
      <c r="C229" s="786"/>
      <c r="D229" s="215"/>
      <c r="E229" s="309" t="s">
        <v>354</v>
      </c>
      <c r="F229" s="787"/>
      <c r="G229" s="763"/>
      <c r="H229" s="788"/>
      <c r="I229" s="789"/>
      <c r="J229" s="790"/>
      <c r="K229" s="133"/>
      <c r="L229" s="26"/>
      <c r="M229" s="326"/>
    </row>
    <row r="230" spans="1:13" ht="21" customHeight="1">
      <c r="A230" s="58"/>
      <c r="B230" s="73" t="s">
        <v>165</v>
      </c>
      <c r="C230" s="74" t="s">
        <v>167</v>
      </c>
      <c r="D230" s="117"/>
      <c r="E230" s="75"/>
      <c r="F230" s="76"/>
      <c r="G230" s="323" t="e">
        <f>Tracking_SI59[[#This Row],[Còn lại so với ĐH]]/Tracking_SI59[[#This Row],[Số  lượng trên ĐH]]</f>
        <v>#DIV/0!</v>
      </c>
      <c r="H230" s="220"/>
      <c r="I230" s="204"/>
      <c r="J230" s="77"/>
      <c r="K230" s="136"/>
      <c r="L230" s="77"/>
    </row>
    <row r="231" spans="1:13" ht="21" customHeight="1">
      <c r="A231" s="57"/>
      <c r="B231" s="57" t="s">
        <v>165</v>
      </c>
      <c r="C231" s="46"/>
      <c r="D231" s="116"/>
      <c r="E231" s="30"/>
      <c r="F231" s="166"/>
      <c r="G231" s="323" t="e">
        <f>Tracking_SI59[[#This Row],[Còn lại so với ĐH]]/Tracking_SI59[[#This Row],[Số  lượng trên ĐH]]</f>
        <v>#DIV/0!</v>
      </c>
      <c r="H231" s="164"/>
      <c r="I231" s="606"/>
      <c r="J231" s="344"/>
      <c r="K231" s="127"/>
      <c r="L231" s="32"/>
    </row>
    <row r="232" spans="1:13" ht="21" customHeight="1">
      <c r="A232" s="57"/>
      <c r="B232" s="57" t="s">
        <v>165</v>
      </c>
      <c r="C232" s="46"/>
      <c r="D232" s="116"/>
      <c r="E232" s="30"/>
      <c r="F232" s="166"/>
      <c r="G232" s="323" t="e">
        <f>Tracking_SI59[[#This Row],[Còn lại so với ĐH]]/Tracking_SI59[[#This Row],[Số  lượng trên ĐH]]</f>
        <v>#DIV/0!</v>
      </c>
      <c r="H232" s="164"/>
      <c r="I232" s="606"/>
      <c r="J232" s="344"/>
      <c r="K232" s="127"/>
      <c r="L232" s="32"/>
    </row>
    <row r="233" spans="1:13" ht="21" customHeight="1">
      <c r="A233" s="57"/>
      <c r="B233" s="57" t="s">
        <v>165</v>
      </c>
      <c r="C233" s="46"/>
      <c r="D233" s="116"/>
      <c r="E233" s="30"/>
      <c r="F233" s="166"/>
      <c r="G233" s="323" t="e">
        <f>Tracking_SI59[[#This Row],[Còn lại so với ĐH]]/Tracking_SI59[[#This Row],[Số  lượng trên ĐH]]</f>
        <v>#DIV/0!</v>
      </c>
      <c r="H233" s="164"/>
      <c r="I233" s="619"/>
      <c r="J233" s="344"/>
      <c r="K233" s="127"/>
      <c r="L233" s="32"/>
    </row>
    <row r="234" spans="1:13" ht="21" customHeight="1">
      <c r="A234" s="57"/>
      <c r="B234" s="57" t="s">
        <v>165</v>
      </c>
      <c r="C234" s="46"/>
      <c r="D234" s="154"/>
      <c r="E234" s="155"/>
      <c r="F234" s="168"/>
      <c r="G234" s="326" t="e">
        <f>Tracking_SI59[[#This Row],[Còn lại so với ĐH]]/Tracking_SI59[[#This Row],[Số  lượng trên ĐH]]</f>
        <v>#DIV/0!</v>
      </c>
      <c r="H234" s="168"/>
      <c r="I234" s="621"/>
      <c r="J234" s="622"/>
      <c r="K234" s="130"/>
      <c r="L234" s="24"/>
    </row>
    <row r="235" spans="1:13" ht="21" customHeight="1">
      <c r="A235" s="57"/>
      <c r="B235" s="57" t="s">
        <v>165</v>
      </c>
      <c r="C235" s="46"/>
      <c r="D235" s="116"/>
      <c r="E235" s="30"/>
      <c r="F235" s="166"/>
      <c r="G235" s="326" t="e">
        <f>Tracking_SI59[[#This Row],[Còn lại so với ĐH]]/Tracking_SI59[[#This Row],[Số  lượng trên ĐH]]</f>
        <v>#DIV/0!</v>
      </c>
      <c r="H235" s="164"/>
      <c r="I235" s="354"/>
      <c r="J235" s="344"/>
      <c r="K235" s="133"/>
      <c r="L235" s="32"/>
    </row>
    <row r="236" spans="1:13" ht="21" customHeight="1">
      <c r="A236" s="57"/>
      <c r="B236" s="57" t="s">
        <v>165</v>
      </c>
      <c r="C236" s="46"/>
      <c r="D236" s="116"/>
      <c r="E236" s="30"/>
      <c r="F236" s="166"/>
      <c r="G236" s="326" t="e">
        <f>Tracking_SI59[[#This Row],[Còn lại so với ĐH]]/Tracking_SI59[[#This Row],[Số  lượng trên ĐH]]</f>
        <v>#DIV/0!</v>
      </c>
      <c r="H236" s="164"/>
      <c r="I236" s="619"/>
      <c r="J236" s="344"/>
      <c r="K236" s="133"/>
      <c r="L236" s="32"/>
    </row>
    <row r="237" spans="1:13" ht="21" customHeight="1">
      <c r="A237" s="57"/>
      <c r="B237" s="57" t="s">
        <v>165</v>
      </c>
      <c r="C237" s="46"/>
      <c r="D237" s="116"/>
      <c r="E237" s="30"/>
      <c r="F237" s="166"/>
      <c r="G237" s="326" t="e">
        <f>Tracking_SI59[[#This Row],[Còn lại so với ĐH]]/Tracking_SI59[[#This Row],[Số  lượng trên ĐH]]</f>
        <v>#DIV/0!</v>
      </c>
      <c r="H237" s="164"/>
      <c r="I237" s="619"/>
      <c r="J237" s="344"/>
      <c r="K237" s="133"/>
      <c r="L237" s="32"/>
    </row>
    <row r="238" spans="1:13" ht="21" customHeight="1">
      <c r="A238" s="57"/>
      <c r="B238" s="57" t="s">
        <v>165</v>
      </c>
      <c r="C238" s="46"/>
      <c r="D238" s="116"/>
      <c r="E238" s="30"/>
      <c r="F238" s="166"/>
      <c r="G238" s="326" t="e">
        <f>Tracking_SI59[[#This Row],[Còn lại so với ĐH]]/Tracking_SI59[[#This Row],[Số  lượng trên ĐH]]</f>
        <v>#DIV/0!</v>
      </c>
      <c r="H238" s="164"/>
      <c r="I238" s="619"/>
      <c r="J238" s="344"/>
      <c r="K238" s="133"/>
      <c r="L238" s="32"/>
    </row>
    <row r="239" spans="1:13" ht="21" customHeight="1">
      <c r="A239" s="58"/>
      <c r="B239" s="73" t="s">
        <v>206</v>
      </c>
      <c r="C239" s="74" t="s">
        <v>205</v>
      </c>
      <c r="D239" s="117"/>
      <c r="E239" s="75"/>
      <c r="F239" s="76"/>
      <c r="G239" s="323" t="e">
        <f>Tracking_SI59[[#This Row],[Còn lại so với ĐH]]/Tracking_SI59[[#This Row],[Số  lượng trên ĐH]]</f>
        <v>#DIV/0!</v>
      </c>
      <c r="H239" s="220"/>
      <c r="I239" s="204"/>
      <c r="J239" s="77"/>
      <c r="K239" s="136"/>
      <c r="L239" s="77"/>
    </row>
    <row r="240" spans="1:13" ht="21" customHeight="1">
      <c r="A240" s="57"/>
      <c r="B240" s="421" t="s">
        <v>206</v>
      </c>
      <c r="C240" s="319"/>
      <c r="D240" s="341">
        <v>46086</v>
      </c>
      <c r="E240" s="340" t="s">
        <v>212</v>
      </c>
      <c r="F240" s="343">
        <v>15000</v>
      </c>
      <c r="G240" s="326">
        <f>Tracking_SI59[[#This Row],[Còn lại so với ĐH]]/Tracking_SI59[[#This Row],[Số  lượng trên ĐH]]</f>
        <v>0</v>
      </c>
      <c r="H240" s="343">
        <f>SUM(H241:H245)</f>
        <v>15000</v>
      </c>
      <c r="I240" s="378">
        <f>Tracking_SI59[[#This Row],[Số  lượng trên ĐH]]-Tracking_SI59[[#This Row],[Số  lượng giao]]</f>
        <v>0</v>
      </c>
      <c r="J240" s="604"/>
      <c r="K240" s="356" t="s">
        <v>116</v>
      </c>
      <c r="L240" s="32"/>
    </row>
    <row r="241" spans="1:12" ht="21" customHeight="1">
      <c r="A241" s="57"/>
      <c r="B241" s="598" t="s">
        <v>206</v>
      </c>
      <c r="C241" s="319"/>
      <c r="D241" s="108" t="s">
        <v>262</v>
      </c>
      <c r="E241" s="27" t="s">
        <v>212</v>
      </c>
      <c r="F241" s="166"/>
      <c r="G241" s="326" t="e">
        <f>Tracking_SI59[[#This Row],[Còn lại so với ĐH]]/Tracking_SI59[[#This Row],[Số  lượng trên ĐH]]</f>
        <v>#DIV/0!</v>
      </c>
      <c r="H241" s="164">
        <v>1962</v>
      </c>
      <c r="I241" s="619"/>
      <c r="J241" s="344"/>
      <c r="K241" s="133" t="s">
        <v>118</v>
      </c>
      <c r="L241" s="32"/>
    </row>
    <row r="242" spans="1:12" ht="21" customHeight="1">
      <c r="A242" s="57"/>
      <c r="B242" s="598" t="s">
        <v>206</v>
      </c>
      <c r="C242" s="319"/>
      <c r="D242" s="116">
        <v>46141</v>
      </c>
      <c r="E242" s="27" t="s">
        <v>212</v>
      </c>
      <c r="F242" s="166"/>
      <c r="G242" s="326" t="e">
        <f>Tracking_SI59[[#This Row],[Còn lại so với ĐH]]/Tracking_SI59[[#This Row],[Số  lượng trên ĐH]]</f>
        <v>#DIV/0!</v>
      </c>
      <c r="H242" s="166">
        <v>8150</v>
      </c>
      <c r="I242" s="619"/>
      <c r="J242" s="344"/>
      <c r="K242" s="133" t="s">
        <v>118</v>
      </c>
      <c r="L242" s="32"/>
    </row>
    <row r="243" spans="1:12" ht="21" customHeight="1">
      <c r="A243" s="57"/>
      <c r="B243" s="598" t="s">
        <v>206</v>
      </c>
      <c r="C243" s="319"/>
      <c r="D243" s="116">
        <v>46148</v>
      </c>
      <c r="E243" s="27" t="s">
        <v>212</v>
      </c>
      <c r="F243" s="166"/>
      <c r="G243" s="326" t="e">
        <f>Tracking_SI59[[#This Row],[Còn lại so với ĐH]]/Tracking_SI59[[#This Row],[Số  lượng trên ĐH]]</f>
        <v>#DIV/0!</v>
      </c>
      <c r="H243" s="166">
        <v>2266</v>
      </c>
      <c r="I243" s="619"/>
      <c r="J243" s="344"/>
      <c r="K243" s="133" t="s">
        <v>118</v>
      </c>
      <c r="L243" s="32"/>
    </row>
    <row r="244" spans="1:12" ht="21" customHeight="1">
      <c r="A244" s="57"/>
      <c r="B244" s="598" t="s">
        <v>206</v>
      </c>
      <c r="C244" s="319"/>
      <c r="D244" s="116">
        <v>46151</v>
      </c>
      <c r="E244" s="27" t="s">
        <v>212</v>
      </c>
      <c r="F244" s="166"/>
      <c r="G244" s="326" t="e">
        <f>Tracking_SI59[[#This Row],[Còn lại so với ĐH]]/Tracking_SI59[[#This Row],[Số  lượng trên ĐH]]</f>
        <v>#DIV/0!</v>
      </c>
      <c r="H244" s="166">
        <v>1298</v>
      </c>
      <c r="I244" s="619"/>
      <c r="J244" s="344"/>
      <c r="K244" s="133" t="s">
        <v>118</v>
      </c>
      <c r="L244" s="32"/>
    </row>
    <row r="245" spans="1:12" ht="21" customHeight="1">
      <c r="A245" s="57"/>
      <c r="B245" s="598" t="s">
        <v>206</v>
      </c>
      <c r="C245" s="319"/>
      <c r="D245" s="108">
        <v>46155</v>
      </c>
      <c r="E245" s="27" t="s">
        <v>212</v>
      </c>
      <c r="F245" s="166"/>
      <c r="G245" s="326" t="e">
        <f>Tracking_SI59[[#This Row],[Còn lại so với ĐH]]/Tracking_SI59[[#This Row],[Số  lượng trên ĐH]]</f>
        <v>#DIV/0!</v>
      </c>
      <c r="H245" s="164">
        <v>1324</v>
      </c>
      <c r="I245" s="619"/>
      <c r="J245" s="344"/>
      <c r="K245" s="133" t="s">
        <v>118</v>
      </c>
      <c r="L245" s="32"/>
    </row>
    <row r="246" spans="1:12" ht="21" customHeight="1">
      <c r="A246" s="57"/>
      <c r="B246" s="421" t="s">
        <v>206</v>
      </c>
      <c r="C246" s="319"/>
      <c r="D246" s="341">
        <v>46086</v>
      </c>
      <c r="E246" s="340" t="s">
        <v>253</v>
      </c>
      <c r="F246" s="343">
        <v>10000</v>
      </c>
      <c r="G246" s="326">
        <f>Tracking_SI59[[#This Row],[Còn lại so với ĐH]]/Tracking_SI59[[#This Row],[Số  lượng trên ĐH]]</f>
        <v>2.1600000000000001E-2</v>
      </c>
      <c r="H246" s="343">
        <f>SUM(H247:H257)</f>
        <v>9784</v>
      </c>
      <c r="I246" s="378">
        <f>Tracking_SI59[[#This Row],[Số  lượng trên ĐH]]-Tracking_SI59[[#This Row],[Số  lượng giao]]</f>
        <v>216</v>
      </c>
      <c r="J246" s="343"/>
      <c r="K246" s="356"/>
      <c r="L246" s="32"/>
    </row>
    <row r="247" spans="1:12" ht="21" customHeight="1">
      <c r="A247" s="57"/>
      <c r="B247" s="421" t="s">
        <v>206</v>
      </c>
      <c r="C247" s="152"/>
      <c r="D247" s="108">
        <v>46155</v>
      </c>
      <c r="E247" s="27" t="s">
        <v>253</v>
      </c>
      <c r="F247" s="166"/>
      <c r="G247" s="326" t="e">
        <f>Tracking_SI59[[#This Row],[Còn lại so với ĐH]]/Tracking_SI59[[#This Row],[Số  lượng trên ĐH]]</f>
        <v>#DIV/0!</v>
      </c>
      <c r="H247" s="554">
        <f>1620-H245</f>
        <v>296</v>
      </c>
      <c r="I247" s="610"/>
      <c r="J247" s="344"/>
      <c r="K247" s="133"/>
      <c r="L247" s="32"/>
    </row>
    <row r="248" spans="1:12" ht="21" customHeight="1">
      <c r="A248" s="57"/>
      <c r="B248" s="421" t="s">
        <v>206</v>
      </c>
      <c r="C248" s="152"/>
      <c r="D248" s="116">
        <v>46157</v>
      </c>
      <c r="E248" s="27" t="s">
        <v>253</v>
      </c>
      <c r="F248" s="166"/>
      <c r="G248" s="326" t="e">
        <f>Tracking_SI59[[#This Row],[Còn lại so với ĐH]]/Tracking_SI59[[#This Row],[Số  lượng trên ĐH]]</f>
        <v>#DIV/0!</v>
      </c>
      <c r="H248" s="166">
        <v>989</v>
      </c>
      <c r="I248" s="619"/>
      <c r="J248" s="344"/>
      <c r="K248" s="133"/>
      <c r="L248" s="32"/>
    </row>
    <row r="249" spans="1:12" ht="21" customHeight="1">
      <c r="A249" s="57"/>
      <c r="B249" s="421" t="s">
        <v>206</v>
      </c>
      <c r="C249" s="152"/>
      <c r="D249" s="116">
        <v>46161</v>
      </c>
      <c r="E249" s="27" t="s">
        <v>253</v>
      </c>
      <c r="F249" s="31"/>
      <c r="G249" s="326" t="e">
        <f>Tracking_SI59[[#This Row],[Còn lại so với ĐH]]/Tracking_SI59[[#This Row],[Số  lượng trên ĐH]]</f>
        <v>#DIV/0!</v>
      </c>
      <c r="H249" s="26">
        <v>656</v>
      </c>
      <c r="I249" s="189"/>
      <c r="J249" s="32"/>
      <c r="K249" s="133"/>
      <c r="L249" s="32"/>
    </row>
    <row r="250" spans="1:12" ht="21" customHeight="1">
      <c r="A250" s="57"/>
      <c r="B250" s="421" t="s">
        <v>206</v>
      </c>
      <c r="C250" s="152"/>
      <c r="D250" s="108">
        <v>46168</v>
      </c>
      <c r="E250" s="27" t="s">
        <v>253</v>
      </c>
      <c r="F250" s="31"/>
      <c r="G250" s="326" t="e">
        <f>Tracking_SI59[[#This Row],[Còn lại so với ĐH]]/Tracking_SI59[[#This Row],[Số  lượng trên ĐH]]</f>
        <v>#DIV/0!</v>
      </c>
      <c r="H250" s="31">
        <v>974</v>
      </c>
      <c r="I250" s="189"/>
      <c r="J250" s="32"/>
      <c r="K250" s="133"/>
      <c r="L250" s="32"/>
    </row>
    <row r="251" spans="1:12" ht="21" customHeight="1">
      <c r="A251" s="57"/>
      <c r="B251" s="421" t="s">
        <v>206</v>
      </c>
      <c r="C251" s="152"/>
      <c r="D251" s="108">
        <v>46175</v>
      </c>
      <c r="E251" s="27" t="s">
        <v>253</v>
      </c>
      <c r="F251" s="31"/>
      <c r="G251" s="326" t="e">
        <f>Tracking_SI59[[#This Row],[Còn lại so với ĐH]]/Tracking_SI59[[#This Row],[Số  lượng trên ĐH]]</f>
        <v>#DIV/0!</v>
      </c>
      <c r="H251" s="31">
        <v>1634</v>
      </c>
      <c r="I251" s="189"/>
      <c r="J251" s="32"/>
      <c r="K251" s="133"/>
      <c r="L251" s="32"/>
    </row>
    <row r="252" spans="1:12" ht="21" customHeight="1">
      <c r="A252" s="57"/>
      <c r="B252" s="421" t="s">
        <v>206</v>
      </c>
      <c r="C252" s="152"/>
      <c r="D252" s="108">
        <v>46200</v>
      </c>
      <c r="E252" s="27" t="s">
        <v>253</v>
      </c>
      <c r="F252" s="31"/>
      <c r="G252" s="326" t="e">
        <f>Tracking_SI59[[#This Row],[Còn lại so với ĐH]]/Tracking_SI59[[#This Row],[Số  lượng trên ĐH]]</f>
        <v>#DIV/0!</v>
      </c>
      <c r="H252" s="31">
        <v>2949</v>
      </c>
      <c r="I252" s="189"/>
      <c r="J252" s="32"/>
      <c r="K252" s="133"/>
      <c r="L252" s="32"/>
    </row>
    <row r="253" spans="1:12" ht="21" customHeight="1">
      <c r="A253" s="57"/>
      <c r="B253" s="421" t="s">
        <v>206</v>
      </c>
      <c r="C253" s="152"/>
      <c r="D253" s="108">
        <v>46207</v>
      </c>
      <c r="E253" s="27" t="s">
        <v>253</v>
      </c>
      <c r="F253" s="31"/>
      <c r="G253" s="326" t="e">
        <f>Tracking_SI59[[#This Row],[Còn lại so với ĐH]]/Tracking_SI59[[#This Row],[Số  lượng trên ĐH]]</f>
        <v>#DIV/0!</v>
      </c>
      <c r="H253" s="31">
        <v>1960</v>
      </c>
      <c r="I253" s="189"/>
      <c r="J253" s="32"/>
      <c r="K253" s="133"/>
      <c r="L253" s="32"/>
    </row>
    <row r="254" spans="1:12" ht="21" customHeight="1">
      <c r="A254" s="57"/>
      <c r="B254" s="421" t="s">
        <v>206</v>
      </c>
      <c r="C254" s="152"/>
      <c r="D254" s="108">
        <v>46221</v>
      </c>
      <c r="E254" s="27" t="s">
        <v>253</v>
      </c>
      <c r="F254" s="31"/>
      <c r="G254" s="326" t="e">
        <f>Tracking_SI59[[#This Row],[Còn lại so với ĐH]]/Tracking_SI59[[#This Row],[Số  lượng trên ĐH]]</f>
        <v>#DIV/0!</v>
      </c>
      <c r="H254" s="31">
        <v>326</v>
      </c>
      <c r="I254" s="189"/>
      <c r="J254" s="32"/>
      <c r="K254" s="133"/>
      <c r="L254" s="32"/>
    </row>
    <row r="255" spans="1:12" ht="21" customHeight="1">
      <c r="A255" s="57"/>
      <c r="B255" s="421" t="s">
        <v>206</v>
      </c>
      <c r="C255" s="152"/>
      <c r="D255" s="108"/>
      <c r="E255" s="27" t="s">
        <v>253</v>
      </c>
      <c r="F255" s="31"/>
      <c r="G255" s="326" t="e">
        <f>Tracking_SI59[[#This Row],[Còn lại so với ĐH]]/Tracking_SI59[[#This Row],[Số  lượng trên ĐH]]</f>
        <v>#DIV/0!</v>
      </c>
      <c r="H255" s="31"/>
      <c r="I255" s="189"/>
      <c r="J255" s="32"/>
      <c r="K255" s="133"/>
      <c r="L255" s="32"/>
    </row>
    <row r="256" spans="1:12" ht="21" customHeight="1">
      <c r="A256" s="57"/>
      <c r="B256" s="421" t="s">
        <v>206</v>
      </c>
      <c r="C256" s="152"/>
      <c r="D256" s="108"/>
      <c r="E256" s="27" t="s">
        <v>253</v>
      </c>
      <c r="F256" s="31"/>
      <c r="G256" s="326" t="e">
        <f>Tracking_SI59[[#This Row],[Còn lại so với ĐH]]/Tracking_SI59[[#This Row],[Số  lượng trên ĐH]]</f>
        <v>#DIV/0!</v>
      </c>
      <c r="H256" s="31"/>
      <c r="I256" s="189"/>
      <c r="J256" s="32"/>
      <c r="K256" s="133"/>
      <c r="L256" s="32"/>
    </row>
    <row r="257" spans="1:12" ht="21" customHeight="1">
      <c r="A257" s="57"/>
      <c r="B257" s="421" t="s">
        <v>206</v>
      </c>
      <c r="C257" s="152"/>
      <c r="D257" s="116"/>
      <c r="E257" s="27" t="s">
        <v>253</v>
      </c>
      <c r="F257" s="31"/>
      <c r="G257" s="326" t="e">
        <f>Tracking_SI59[[#This Row],[Còn lại so với ĐH]]/Tracking_SI59[[#This Row],[Số  lượng trên ĐH]]</f>
        <v>#DIV/0!</v>
      </c>
      <c r="H257" s="31"/>
      <c r="I257" s="189"/>
      <c r="J257" s="32"/>
      <c r="K257" s="133"/>
      <c r="L257" s="32"/>
    </row>
    <row r="258" spans="1:12" ht="21" customHeight="1">
      <c r="A258" s="58"/>
      <c r="B258" s="73"/>
      <c r="C258" s="74" t="s">
        <v>204</v>
      </c>
      <c r="D258" s="117"/>
      <c r="E258" s="75"/>
      <c r="F258" s="76"/>
      <c r="G258" s="323" t="e">
        <f>Tracking_SI59[[#This Row],[Còn lại so với ĐH]]/Tracking_SI59[[#This Row],[Số  lượng trên ĐH]]</f>
        <v>#DIV/0!</v>
      </c>
      <c r="H258" s="220"/>
      <c r="I258" s="204"/>
      <c r="J258" s="77"/>
      <c r="K258" s="136"/>
      <c r="L258" s="77"/>
    </row>
    <row r="259" spans="1:12" ht="21" customHeight="1">
      <c r="A259" s="57"/>
      <c r="B259" s="57"/>
      <c r="C259" s="46"/>
      <c r="D259" s="116"/>
      <c r="E259" s="30"/>
      <c r="F259" s="166"/>
      <c r="G259" s="323" t="e">
        <f>Tracking_SI59[[#This Row],[Còn lại so với ĐH]]/Tracking_SI59[[#This Row],[Số  lượng trên ĐH]]</f>
        <v>#DIV/0!</v>
      </c>
      <c r="H259" s="164"/>
      <c r="I259" s="619"/>
      <c r="J259" s="344"/>
      <c r="K259" s="133"/>
      <c r="L259" s="32"/>
    </row>
    <row r="260" spans="1:12" ht="21" customHeight="1">
      <c r="A260" s="58" t="s">
        <v>106</v>
      </c>
      <c r="B260" s="815" t="s">
        <v>295</v>
      </c>
      <c r="C260" s="690" t="s">
        <v>204</v>
      </c>
      <c r="D260" s="691"/>
      <c r="E260" s="805"/>
      <c r="F260" s="800"/>
      <c r="G260" s="693" t="e">
        <f>Tracking_SI59[[#This Row],[Còn lại so với ĐH]]/Tracking_SI59[[#This Row],[Số  lượng trên ĐH]]</f>
        <v>#DIV/0!</v>
      </c>
      <c r="H260" s="813"/>
      <c r="I260" s="820"/>
      <c r="J260" s="802"/>
      <c r="K260" s="803"/>
      <c r="L260" s="802"/>
    </row>
    <row r="261" spans="1:12" ht="21" customHeight="1">
      <c r="A261" s="58" t="s">
        <v>115</v>
      </c>
      <c r="B261" s="108" t="s">
        <v>295</v>
      </c>
      <c r="C261" s="673"/>
      <c r="D261" s="674">
        <v>46259</v>
      </c>
      <c r="E261" s="675" t="s">
        <v>293</v>
      </c>
      <c r="F261" s="676">
        <v>18000</v>
      </c>
      <c r="G261" s="697">
        <f>Tracking_SI59[[#This Row],[Còn lại so với ĐH]]/Tracking_SI59[[#This Row],[Số  lượng trên ĐH]]</f>
        <v>0.77988888888888885</v>
      </c>
      <c r="H261" s="343">
        <f>SUM(H262:H265)</f>
        <v>3962</v>
      </c>
      <c r="I261" s="378">
        <f>Tracking_SI59[[#This Row],[Số  lượng trên ĐH]]-Tracking_SI59[[#This Row],[Số  lượng giao]]</f>
        <v>14038</v>
      </c>
      <c r="J261" s="32"/>
      <c r="K261" s="133"/>
      <c r="L261" s="32"/>
    </row>
    <row r="262" spans="1:12" ht="21" customHeight="1">
      <c r="A262" s="58" t="s">
        <v>118</v>
      </c>
      <c r="B262" s="108" t="s">
        <v>295</v>
      </c>
      <c r="C262" s="673"/>
      <c r="D262" s="116">
        <v>46317</v>
      </c>
      <c r="E262" s="30" t="s">
        <v>293</v>
      </c>
      <c r="F262" s="31"/>
      <c r="G262" s="326" t="e">
        <f>Tracking_SI59[[#This Row],[Còn lại so với ĐH]]/Tracking_SI59[[#This Row],[Số  lượng trên ĐH]]</f>
        <v>#DIV/0!</v>
      </c>
      <c r="H262" s="31">
        <v>3962</v>
      </c>
      <c r="I262" s="189"/>
      <c r="J262" s="32"/>
      <c r="K262" s="133"/>
      <c r="L262" s="32"/>
    </row>
    <row r="263" spans="1:12" ht="21" customHeight="1">
      <c r="A263" s="58"/>
      <c r="B263" s="108" t="s">
        <v>295</v>
      </c>
      <c r="C263" s="673"/>
      <c r="D263" s="116"/>
      <c r="E263" s="30" t="s">
        <v>293</v>
      </c>
      <c r="F263" s="31"/>
      <c r="G263" s="326" t="e">
        <f>Tracking_SI59[[#This Row],[Còn lại so với ĐH]]/Tracking_SI59[[#This Row],[Số  lượng trên ĐH]]</f>
        <v>#DIV/0!</v>
      </c>
      <c r="H263" s="31"/>
      <c r="I263" s="189"/>
      <c r="J263" s="32"/>
      <c r="K263" s="133"/>
      <c r="L263" s="32"/>
    </row>
    <row r="264" spans="1:12" ht="21" customHeight="1">
      <c r="A264" s="57"/>
      <c r="B264" s="108" t="s">
        <v>295</v>
      </c>
      <c r="C264" s="46"/>
      <c r="D264" s="116"/>
      <c r="E264" s="30" t="s">
        <v>293</v>
      </c>
      <c r="F264" s="166"/>
      <c r="G264" s="323" t="e">
        <f>Tracking_SI59[[#This Row],[Còn lại so với ĐH]]/Tracking_SI59[[#This Row],[Số  lượng trên ĐH]]</f>
        <v>#DIV/0!</v>
      </c>
      <c r="H264" s="164"/>
      <c r="I264" s="606"/>
      <c r="J264" s="344"/>
      <c r="K264" s="133"/>
      <c r="L264" s="32"/>
    </row>
    <row r="265" spans="1:12" ht="21" customHeight="1">
      <c r="A265" s="57"/>
      <c r="B265" s="108" t="s">
        <v>295</v>
      </c>
      <c r="C265" s="46"/>
      <c r="D265" s="116"/>
      <c r="E265" s="30" t="s">
        <v>293</v>
      </c>
      <c r="F265" s="166"/>
      <c r="G265" s="323" t="e">
        <f>Tracking_SI59[[#This Row],[Còn lại so với ĐH]]/Tracking_SI59[[#This Row],[Số  lượng trên ĐH]]</f>
        <v>#DIV/0!</v>
      </c>
      <c r="H265" s="164"/>
      <c r="I265" s="606"/>
      <c r="J265" s="344"/>
      <c r="K265" s="133"/>
      <c r="L265" s="32"/>
    </row>
    <row r="266" spans="1:12" ht="21" customHeight="1">
      <c r="A266" s="58" t="s">
        <v>106</v>
      </c>
      <c r="B266" s="815" t="s">
        <v>191</v>
      </c>
      <c r="C266" s="690" t="s">
        <v>190</v>
      </c>
      <c r="D266" s="691"/>
      <c r="E266" s="799"/>
      <c r="F266" s="805"/>
      <c r="G266" s="819"/>
      <c r="H266" s="813"/>
      <c r="I266" s="820"/>
      <c r="J266" s="821"/>
      <c r="K266" s="822"/>
      <c r="L266" s="802"/>
    </row>
    <row r="267" spans="1:12" ht="21" customHeight="1">
      <c r="A267" s="58"/>
      <c r="B267" s="421" t="s">
        <v>191</v>
      </c>
      <c r="C267" s="48"/>
      <c r="D267" s="113">
        <v>46144</v>
      </c>
      <c r="E267" s="739" t="s">
        <v>267</v>
      </c>
      <c r="F267" s="165">
        <v>15000</v>
      </c>
      <c r="G267" s="539">
        <f>Tracking_SI59[[#This Row],[Còn lại so với ĐH]]/Tracking_SI59[[#This Row],[Số  lượng trên ĐH]]</f>
        <v>0</v>
      </c>
      <c r="H267" s="165">
        <f>SUM(H268:H272)</f>
        <v>15000</v>
      </c>
      <c r="I267" s="365">
        <f>Tracking_SI59[[#This Row],[Số  lượng trên ĐH]]-Tracking_SI59[[#This Row],[Số  lượng giao]]</f>
        <v>0</v>
      </c>
      <c r="J267" s="338">
        <v>46500</v>
      </c>
      <c r="K267" s="127" t="s">
        <v>116</v>
      </c>
      <c r="L267" s="36"/>
    </row>
    <row r="268" spans="1:12" ht="21" customHeight="1">
      <c r="A268" s="58"/>
      <c r="B268" s="57" t="s">
        <v>191</v>
      </c>
      <c r="C268" s="48"/>
      <c r="D268" s="350">
        <v>46237</v>
      </c>
      <c r="E268" s="735" t="s">
        <v>267</v>
      </c>
      <c r="F268" s="748"/>
      <c r="G268" s="326"/>
      <c r="H268" s="587">
        <v>4435</v>
      </c>
      <c r="I268" s="623"/>
      <c r="J268" s="624"/>
      <c r="K268" s="196" t="s">
        <v>118</v>
      </c>
      <c r="L268" s="36"/>
    </row>
    <row r="269" spans="1:12" ht="21" customHeight="1">
      <c r="A269" s="57"/>
      <c r="B269" s="57" t="s">
        <v>191</v>
      </c>
      <c r="C269" s="48"/>
      <c r="D269" s="350">
        <v>46239</v>
      </c>
      <c r="E269" s="735" t="s">
        <v>267</v>
      </c>
      <c r="F269" s="587"/>
      <c r="G269" s="326"/>
      <c r="H269" s="164">
        <v>3523</v>
      </c>
      <c r="I269" s="354"/>
      <c r="J269" s="618"/>
      <c r="K269" s="196" t="s">
        <v>118</v>
      </c>
      <c r="L269" s="37"/>
    </row>
    <row r="270" spans="1:12" ht="21" customHeight="1">
      <c r="A270" s="57"/>
      <c r="B270" s="57" t="s">
        <v>191</v>
      </c>
      <c r="C270" s="48"/>
      <c r="D270" s="108">
        <v>46241</v>
      </c>
      <c r="E270" s="735" t="s">
        <v>267</v>
      </c>
      <c r="F270" s="625"/>
      <c r="G270" s="326"/>
      <c r="H270" s="164">
        <v>2878</v>
      </c>
      <c r="I270" s="619"/>
      <c r="J270" s="618"/>
      <c r="K270" s="196" t="s">
        <v>118</v>
      </c>
      <c r="L270" s="37"/>
    </row>
    <row r="271" spans="1:12" ht="21" customHeight="1">
      <c r="A271" s="57"/>
      <c r="B271" s="57" t="s">
        <v>191</v>
      </c>
      <c r="C271" s="48"/>
      <c r="D271" s="108">
        <v>46244</v>
      </c>
      <c r="E271" s="737" t="s">
        <v>267</v>
      </c>
      <c r="F271" s="625"/>
      <c r="G271" s="326"/>
      <c r="H271" s="164">
        <v>2318</v>
      </c>
      <c r="I271" s="619"/>
      <c r="J271" s="618"/>
      <c r="K271" s="196" t="s">
        <v>118</v>
      </c>
      <c r="L271" s="37"/>
    </row>
    <row r="272" spans="1:12" ht="21" customHeight="1">
      <c r="A272" s="57"/>
      <c r="B272" s="57" t="s">
        <v>191</v>
      </c>
      <c r="C272" s="48"/>
      <c r="D272" s="108">
        <v>46246</v>
      </c>
      <c r="E272" s="737" t="s">
        <v>267</v>
      </c>
      <c r="F272" s="625"/>
      <c r="G272" s="326"/>
      <c r="H272" s="164">
        <v>1846</v>
      </c>
      <c r="I272" s="619"/>
      <c r="J272" s="618"/>
      <c r="K272" s="196" t="s">
        <v>118</v>
      </c>
      <c r="L272" s="37"/>
    </row>
    <row r="273" spans="1:13" ht="21" customHeight="1">
      <c r="A273" s="57"/>
      <c r="B273" s="57" t="s">
        <v>191</v>
      </c>
      <c r="C273" s="48"/>
      <c r="D273" s="113">
        <v>46183</v>
      </c>
      <c r="E273" s="739" t="s">
        <v>278</v>
      </c>
      <c r="F273" s="671">
        <v>12000</v>
      </c>
      <c r="G273" s="539">
        <f>Tracking_SI59[[#This Row],[Còn lại so với ĐH]]/Tracking_SI59[[#This Row],[Số  lượng trên ĐH]]</f>
        <v>0</v>
      </c>
      <c r="H273" s="165">
        <f>SUM(H274:H277)</f>
        <v>12000</v>
      </c>
      <c r="I273" s="365">
        <f>Tracking_SI59[[#This Row],[Số  lượng trên ĐH]]-Tracking_SI59[[#This Row],[Số  lượng giao]]</f>
        <v>0</v>
      </c>
      <c r="J273" s="338">
        <v>43700</v>
      </c>
      <c r="K273" s="138" t="s">
        <v>116</v>
      </c>
      <c r="L273" s="37"/>
    </row>
    <row r="274" spans="1:13" ht="21" customHeight="1">
      <c r="A274" s="57"/>
      <c r="B274" s="57" t="s">
        <v>191</v>
      </c>
      <c r="C274" s="312"/>
      <c r="D274" s="108">
        <v>46246</v>
      </c>
      <c r="E274" s="737" t="s">
        <v>278</v>
      </c>
      <c r="F274" s="625"/>
      <c r="G274" s="326"/>
      <c r="H274" s="164">
        <f>2559-H272</f>
        <v>713</v>
      </c>
      <c r="I274" s="619"/>
      <c r="J274" s="618"/>
      <c r="K274" s="196" t="s">
        <v>118</v>
      </c>
      <c r="L274" s="37"/>
    </row>
    <row r="275" spans="1:13" ht="21" customHeight="1">
      <c r="A275" s="57"/>
      <c r="B275" s="57" t="s">
        <v>191</v>
      </c>
      <c r="C275" s="312"/>
      <c r="D275" s="108">
        <v>46258</v>
      </c>
      <c r="E275" s="735" t="s">
        <v>278</v>
      </c>
      <c r="F275" s="168"/>
      <c r="G275" s="326"/>
      <c r="H275" s="164">
        <v>8065</v>
      </c>
      <c r="I275" s="354"/>
      <c r="J275" s="618"/>
      <c r="K275" s="196" t="s">
        <v>118</v>
      </c>
      <c r="L275" s="37"/>
    </row>
    <row r="276" spans="1:13" ht="21" customHeight="1">
      <c r="A276" s="57"/>
      <c r="B276" s="57" t="s">
        <v>191</v>
      </c>
      <c r="C276" s="312"/>
      <c r="D276" s="108">
        <v>46260</v>
      </c>
      <c r="E276" s="737" t="s">
        <v>278</v>
      </c>
      <c r="F276" s="625"/>
      <c r="G276" s="326"/>
      <c r="H276" s="164">
        <v>2669</v>
      </c>
      <c r="I276" s="619"/>
      <c r="J276" s="618"/>
      <c r="K276" s="196" t="s">
        <v>118</v>
      </c>
      <c r="L276" s="37"/>
    </row>
    <row r="277" spans="1:13" ht="21" customHeight="1">
      <c r="A277" s="57"/>
      <c r="B277" s="57" t="s">
        <v>191</v>
      </c>
      <c r="C277" s="312"/>
      <c r="D277" s="108">
        <v>46273</v>
      </c>
      <c r="E277" s="737" t="s">
        <v>278</v>
      </c>
      <c r="F277" s="625"/>
      <c r="G277" s="326"/>
      <c r="H277" s="166">
        <v>553</v>
      </c>
      <c r="I277" s="619"/>
      <c r="J277" s="618"/>
      <c r="K277" s="196" t="s">
        <v>118</v>
      </c>
      <c r="L277" s="37"/>
    </row>
    <row r="278" spans="1:13" ht="21" customHeight="1">
      <c r="A278" s="57" t="s">
        <v>115</v>
      </c>
      <c r="B278" s="57" t="s">
        <v>191</v>
      </c>
      <c r="C278" s="312"/>
      <c r="D278" s="215">
        <v>46259</v>
      </c>
      <c r="E278" s="743" t="s">
        <v>293</v>
      </c>
      <c r="F278" s="349">
        <v>18000</v>
      </c>
      <c r="G278" s="326">
        <f>Tracking_SI59[[#This Row],[Còn lại so với ĐH]]/Tracking_SI59[[#This Row],[Số  lượng trên ĐH]]</f>
        <v>0</v>
      </c>
      <c r="H278" s="623">
        <f>SUM(H279:H286)</f>
        <v>18000</v>
      </c>
      <c r="I278" s="623">
        <f>Tracking_SI59[[#This Row],[Số  lượng trên ĐH]]-Tracking_SI59[[#This Row],[Số  lượng giao]]</f>
        <v>0</v>
      </c>
      <c r="J278" s="829"/>
      <c r="K278" s="215"/>
      <c r="L278" s="32"/>
    </row>
    <row r="279" spans="1:13" ht="21" customHeight="1">
      <c r="A279" s="57"/>
      <c r="B279" s="57" t="s">
        <v>191</v>
      </c>
      <c r="C279" s="312"/>
      <c r="D279" s="108">
        <v>46273</v>
      </c>
      <c r="E279" s="737" t="s">
        <v>293</v>
      </c>
      <c r="F279" s="625"/>
      <c r="G279" s="326"/>
      <c r="H279" s="166">
        <f>2694-H277</f>
        <v>2141</v>
      </c>
      <c r="I279" s="623"/>
      <c r="J279" s="618"/>
      <c r="K279" s="139"/>
      <c r="L279" s="37"/>
    </row>
    <row r="280" spans="1:13" ht="21" customHeight="1">
      <c r="A280" s="57"/>
      <c r="B280" s="57" t="s">
        <v>191</v>
      </c>
      <c r="C280" s="312"/>
      <c r="D280" s="108">
        <v>46276</v>
      </c>
      <c r="E280" s="737" t="s">
        <v>293</v>
      </c>
      <c r="F280" s="625"/>
      <c r="G280" s="326"/>
      <c r="H280" s="166">
        <v>1004</v>
      </c>
      <c r="I280" s="623"/>
      <c r="J280" s="618"/>
      <c r="K280" s="139"/>
      <c r="L280" s="37"/>
    </row>
    <row r="281" spans="1:13" ht="21" customHeight="1">
      <c r="A281" s="57"/>
      <c r="B281" s="57" t="s">
        <v>191</v>
      </c>
      <c r="C281" s="312"/>
      <c r="D281" s="108">
        <v>46280</v>
      </c>
      <c r="E281" s="734" t="s">
        <v>293</v>
      </c>
      <c r="F281" s="625"/>
      <c r="G281" s="326"/>
      <c r="H281" s="727">
        <v>333</v>
      </c>
      <c r="I281" s="623"/>
      <c r="J281" s="618"/>
      <c r="K281" s="139"/>
      <c r="L281" s="37"/>
    </row>
    <row r="282" spans="1:13" ht="21" customHeight="1">
      <c r="A282" s="57"/>
      <c r="B282" s="57" t="s">
        <v>191</v>
      </c>
      <c r="C282" s="312"/>
      <c r="D282" s="108">
        <v>46287</v>
      </c>
      <c r="E282" s="737" t="s">
        <v>293</v>
      </c>
      <c r="F282" s="625"/>
      <c r="G282" s="326"/>
      <c r="H282" s="166">
        <v>1685</v>
      </c>
      <c r="I282" s="623"/>
      <c r="J282" s="618"/>
      <c r="K282" s="139"/>
      <c r="L282" s="37"/>
    </row>
    <row r="283" spans="1:13" ht="21" customHeight="1">
      <c r="A283" s="57"/>
      <c r="B283" s="57" t="s">
        <v>191</v>
      </c>
      <c r="C283" s="312"/>
      <c r="D283" s="108">
        <v>46297</v>
      </c>
      <c r="E283" s="737" t="s">
        <v>293</v>
      </c>
      <c r="F283" s="625"/>
      <c r="G283" s="326"/>
      <c r="H283" s="166">
        <v>2699</v>
      </c>
      <c r="I283" s="623"/>
      <c r="J283" s="618"/>
      <c r="K283" s="139"/>
      <c r="L283" s="37"/>
    </row>
    <row r="284" spans="1:13" ht="21" customHeight="1">
      <c r="A284" s="57"/>
      <c r="B284" s="57" t="s">
        <v>191</v>
      </c>
      <c r="C284" s="312"/>
      <c r="D284" s="108">
        <v>46302</v>
      </c>
      <c r="E284" s="737" t="s">
        <v>293</v>
      </c>
      <c r="F284" s="625"/>
      <c r="G284" s="326"/>
      <c r="H284" s="166">
        <v>4331</v>
      </c>
      <c r="I284" s="623"/>
      <c r="J284" s="618"/>
      <c r="K284" s="139"/>
      <c r="L284" s="37"/>
    </row>
    <row r="285" spans="1:13" ht="21" customHeight="1">
      <c r="A285" s="57"/>
      <c r="B285" s="57" t="s">
        <v>191</v>
      </c>
      <c r="C285" s="261"/>
      <c r="D285" s="108">
        <v>46304</v>
      </c>
      <c r="E285" s="737" t="s">
        <v>293</v>
      </c>
      <c r="F285" s="625"/>
      <c r="G285" s="763"/>
      <c r="H285" s="166">
        <v>4013</v>
      </c>
      <c r="I285" s="623"/>
      <c r="J285" s="832"/>
      <c r="K285" s="139"/>
      <c r="L285" s="37"/>
      <c r="M285" s="326"/>
    </row>
    <row r="286" spans="1:13" ht="21" customHeight="1">
      <c r="A286" s="57" t="s">
        <v>118</v>
      </c>
      <c r="B286" s="57" t="s">
        <v>191</v>
      </c>
      <c r="C286" s="773"/>
      <c r="D286" s="108">
        <v>46308</v>
      </c>
      <c r="E286" s="737" t="s">
        <v>293</v>
      </c>
      <c r="F286" s="625"/>
      <c r="G286" s="763"/>
      <c r="H286" s="166">
        <v>1794</v>
      </c>
      <c r="I286" s="623"/>
      <c r="J286" s="832"/>
      <c r="K286" s="139"/>
      <c r="L286" s="37"/>
      <c r="M286" s="326"/>
    </row>
    <row r="287" spans="1:13" ht="21" customHeight="1">
      <c r="A287" s="57" t="s">
        <v>115</v>
      </c>
      <c r="B287" s="57" t="s">
        <v>191</v>
      </c>
      <c r="C287" s="312"/>
      <c r="D287" s="341">
        <v>46277</v>
      </c>
      <c r="E287" s="731" t="s">
        <v>342</v>
      </c>
      <c r="F287" s="378">
        <v>18000</v>
      </c>
      <c r="G287" s="697">
        <f>Tracking_SI59[[#This Row],[Còn lại so với ĐH]]/Tracking_SI59[[#This Row],[Số  lượng trên ĐH]]</f>
        <v>0.75505555555555559</v>
      </c>
      <c r="H287" s="378">
        <f>SUM(H288:H293)</f>
        <v>4409</v>
      </c>
      <c r="I287" s="378">
        <f>Tracking_SI59[[#This Row],[Số  lượng trên ĐH]]-Tracking_SI59[[#This Row],[Số  lượng giao]]</f>
        <v>13591</v>
      </c>
      <c r="J287" s="779">
        <v>46000</v>
      </c>
      <c r="K287" s="139"/>
      <c r="L287" s="37"/>
      <c r="M287" s="326"/>
    </row>
    <row r="288" spans="1:13" ht="21" customHeight="1">
      <c r="A288" s="57"/>
      <c r="B288" s="57" t="s">
        <v>191</v>
      </c>
      <c r="C288" s="261"/>
      <c r="D288" s="215">
        <v>46308</v>
      </c>
      <c r="E288" s="777" t="s">
        <v>342</v>
      </c>
      <c r="F288" s="623"/>
      <c r="G288" s="763"/>
      <c r="H288" s="166">
        <v>483</v>
      </c>
      <c r="I288" s="623"/>
      <c r="J288" s="778"/>
      <c r="K288" s="139"/>
      <c r="L288" s="37"/>
      <c r="M288" s="326"/>
    </row>
    <row r="289" spans="1:13" ht="21" customHeight="1">
      <c r="A289" s="57" t="s">
        <v>118</v>
      </c>
      <c r="B289" s="57" t="s">
        <v>191</v>
      </c>
      <c r="C289" s="773"/>
      <c r="D289" s="215">
        <v>46309</v>
      </c>
      <c r="E289" s="777" t="s">
        <v>342</v>
      </c>
      <c r="F289" s="623"/>
      <c r="G289" s="763"/>
      <c r="H289" s="166">
        <v>3926</v>
      </c>
      <c r="I289" s="623"/>
      <c r="J289" s="778"/>
      <c r="K289" s="139"/>
      <c r="L289" s="37"/>
      <c r="M289" s="326"/>
    </row>
    <row r="290" spans="1:13" ht="21" customHeight="1">
      <c r="A290" s="57"/>
      <c r="B290" s="57" t="s">
        <v>191</v>
      </c>
      <c r="C290" s="261"/>
      <c r="D290" s="215"/>
      <c r="E290" s="777" t="s">
        <v>342</v>
      </c>
      <c r="F290" s="623"/>
      <c r="G290" s="763"/>
      <c r="H290" s="166"/>
      <c r="I290" s="623"/>
      <c r="J290" s="778"/>
      <c r="K290" s="139"/>
      <c r="L290" s="37"/>
      <c r="M290" s="326"/>
    </row>
    <row r="291" spans="1:13" ht="21" customHeight="1">
      <c r="A291" s="57"/>
      <c r="B291" s="57" t="s">
        <v>191</v>
      </c>
      <c r="C291" s="261"/>
      <c r="D291" s="215"/>
      <c r="E291" s="777" t="s">
        <v>342</v>
      </c>
      <c r="F291" s="623"/>
      <c r="G291" s="763"/>
      <c r="H291" s="166"/>
      <c r="I291" s="623"/>
      <c r="J291" s="778"/>
      <c r="K291" s="139"/>
      <c r="L291" s="37"/>
      <c r="M291" s="326"/>
    </row>
    <row r="292" spans="1:13" ht="21" customHeight="1">
      <c r="A292" s="57"/>
      <c r="B292" s="57" t="s">
        <v>191</v>
      </c>
      <c r="C292" s="152"/>
      <c r="D292" s="116"/>
      <c r="E292" s="777" t="s">
        <v>342</v>
      </c>
      <c r="F292" s="169"/>
      <c r="G292" s="763"/>
      <c r="H292" s="166"/>
      <c r="I292" s="780"/>
      <c r="J292" s="778"/>
      <c r="K292" s="139"/>
      <c r="L292" s="37"/>
    </row>
    <row r="293" spans="1:13" ht="21" customHeight="1">
      <c r="A293" s="57"/>
      <c r="B293" s="58"/>
      <c r="C293" s="261"/>
      <c r="D293" s="215"/>
      <c r="E293" s="737" t="s">
        <v>342</v>
      </c>
      <c r="F293" s="623"/>
      <c r="G293" s="763"/>
      <c r="H293" s="166"/>
      <c r="I293" s="623"/>
      <c r="J293" s="620"/>
      <c r="K293" s="139"/>
      <c r="L293" s="37"/>
      <c r="M293" s="326"/>
    </row>
    <row r="294" spans="1:13" ht="21" customHeight="1">
      <c r="A294" s="57"/>
      <c r="B294" s="58"/>
      <c r="C294" s="261"/>
      <c r="D294" s="215"/>
      <c r="E294" s="737" t="s">
        <v>342</v>
      </c>
      <c r="F294" s="623"/>
      <c r="G294" s="763"/>
      <c r="H294" s="166"/>
      <c r="I294" s="623"/>
      <c r="J294" s="620"/>
      <c r="K294" s="139"/>
      <c r="L294" s="37"/>
      <c r="M294" s="326"/>
    </row>
    <row r="295" spans="1:13" ht="21" customHeight="1">
      <c r="A295" s="57"/>
      <c r="B295" s="58"/>
      <c r="C295" s="261"/>
      <c r="D295" s="215"/>
      <c r="E295" s="737" t="s">
        <v>342</v>
      </c>
      <c r="F295" s="623"/>
      <c r="G295" s="763"/>
      <c r="H295" s="166"/>
      <c r="I295" s="623"/>
      <c r="J295" s="620"/>
      <c r="K295" s="139"/>
      <c r="L295" s="37"/>
      <c r="M295" s="326"/>
    </row>
    <row r="296" spans="1:13" ht="56.4" customHeight="1">
      <c r="A296" s="57"/>
      <c r="B296" s="58"/>
      <c r="C296" s="261"/>
      <c r="D296" s="215"/>
      <c r="E296" s="737" t="s">
        <v>342</v>
      </c>
      <c r="F296" s="623"/>
      <c r="G296" s="763"/>
      <c r="H296" s="166"/>
      <c r="I296" s="623"/>
      <c r="J296" s="620"/>
      <c r="K296" s="139"/>
      <c r="L296" s="37"/>
      <c r="M296" s="326"/>
    </row>
    <row r="297" spans="1:13" ht="21" customHeight="1">
      <c r="A297" s="57" t="s">
        <v>115</v>
      </c>
      <c r="B297" s="57" t="s">
        <v>191</v>
      </c>
      <c r="C297" s="261"/>
      <c r="D297" s="341">
        <v>46295</v>
      </c>
      <c r="E297" s="731" t="s">
        <v>344</v>
      </c>
      <c r="F297" s="378">
        <v>30000</v>
      </c>
      <c r="G297" s="697">
        <f>Tracking_SI59[[#This Row],[Còn lại so với ĐH]]/Tracking_SI59[[#This Row],[Số  lượng trên ĐH]]</f>
        <v>1</v>
      </c>
      <c r="H297" s="378">
        <f>SUM(H298:H302)</f>
        <v>0</v>
      </c>
      <c r="I297" s="378">
        <f>Tracking_SI59[[#This Row],[Số  lượng trên ĐH]]-Tracking_SI59[[#This Row],[Số  lượng giao]]</f>
        <v>30000</v>
      </c>
      <c r="J297" s="636"/>
      <c r="K297" s="139"/>
      <c r="L297" s="37"/>
      <c r="M297" s="326"/>
    </row>
    <row r="298" spans="1:13" ht="21" customHeight="1">
      <c r="A298" s="57"/>
      <c r="B298" s="57" t="s">
        <v>191</v>
      </c>
      <c r="C298" s="773"/>
      <c r="D298" s="215"/>
      <c r="E298" s="737" t="s">
        <v>344</v>
      </c>
      <c r="F298" s="623"/>
      <c r="G298" s="763"/>
      <c r="H298" s="166"/>
      <c r="I298" s="774"/>
      <c r="J298" s="620"/>
      <c r="K298" s="139"/>
      <c r="L298" s="37"/>
      <c r="M298" s="326"/>
    </row>
    <row r="299" spans="1:13" ht="21" customHeight="1">
      <c r="A299" s="57"/>
      <c r="B299" s="57" t="s">
        <v>191</v>
      </c>
      <c r="C299" s="775"/>
      <c r="D299" s="215"/>
      <c r="E299" s="737" t="s">
        <v>344</v>
      </c>
      <c r="F299" s="623"/>
      <c r="G299" s="763"/>
      <c r="H299" s="166"/>
      <c r="I299" s="774"/>
      <c r="J299" s="620"/>
      <c r="K299" s="139"/>
      <c r="L299" s="37"/>
      <c r="M299" s="326"/>
    </row>
    <row r="300" spans="1:13" ht="21" customHeight="1">
      <c r="A300" s="57"/>
      <c r="B300" s="57" t="s">
        <v>191</v>
      </c>
      <c r="C300" s="775"/>
      <c r="D300" s="215"/>
      <c r="E300" s="737" t="s">
        <v>344</v>
      </c>
      <c r="F300" s="623"/>
      <c r="G300" s="763"/>
      <c r="H300" s="166"/>
      <c r="I300" s="774"/>
      <c r="J300" s="620"/>
      <c r="K300" s="139"/>
      <c r="L300" s="37"/>
      <c r="M300" s="326"/>
    </row>
    <row r="301" spans="1:13" ht="21" customHeight="1">
      <c r="A301" s="57"/>
      <c r="B301" s="57" t="s">
        <v>191</v>
      </c>
      <c r="C301" s="775"/>
      <c r="D301" s="215"/>
      <c r="E301" s="737" t="s">
        <v>344</v>
      </c>
      <c r="F301" s="623"/>
      <c r="G301" s="763"/>
      <c r="H301" s="166"/>
      <c r="I301" s="774"/>
      <c r="J301" s="620"/>
      <c r="K301" s="139"/>
      <c r="L301" s="37"/>
      <c r="M301" s="326"/>
    </row>
    <row r="302" spans="1:13" ht="21" customHeight="1">
      <c r="A302" s="57"/>
      <c r="B302" s="57" t="s">
        <v>191</v>
      </c>
      <c r="C302" s="312"/>
      <c r="D302" s="108"/>
      <c r="E302" s="737" t="s">
        <v>344</v>
      </c>
      <c r="F302" s="625"/>
      <c r="G302" s="326"/>
      <c r="H302" s="166"/>
      <c r="I302" s="771"/>
      <c r="J302" s="772"/>
      <c r="K302" s="139"/>
      <c r="L302" s="37"/>
    </row>
    <row r="303" spans="1:13" ht="21" customHeight="1">
      <c r="A303" s="58"/>
      <c r="B303" s="73" t="s">
        <v>187</v>
      </c>
      <c r="C303" s="74" t="s">
        <v>188</v>
      </c>
      <c r="D303" s="117"/>
      <c r="E303" s="308"/>
      <c r="F303" s="79"/>
      <c r="G303" s="323" t="e">
        <f>Tracking_SI59[[#This Row],[Còn lại so với ĐH]]/Tracking_SI59[[#This Row],[Số  lượng trên ĐH]]</f>
        <v>#DIV/0!</v>
      </c>
      <c r="H303" s="337"/>
      <c r="I303" s="204"/>
      <c r="J303" s="77"/>
      <c r="K303" s="136"/>
      <c r="L303" s="77"/>
    </row>
    <row r="304" spans="1:13" ht="21" customHeight="1">
      <c r="A304" s="57"/>
      <c r="B304" s="57" t="s">
        <v>187</v>
      </c>
      <c r="C304" s="46"/>
      <c r="D304" s="116"/>
      <c r="E304" s="30"/>
      <c r="F304" s="169"/>
      <c r="G304" s="323" t="e">
        <f>Tracking_SI59[[#This Row],[Còn lại so với ĐH]]/Tracking_SI59[[#This Row],[Số  lượng trên ĐH]]</f>
        <v>#DIV/0!</v>
      </c>
      <c r="H304" s="164"/>
      <c r="I304" s="619"/>
      <c r="J304" s="164"/>
      <c r="K304" s="130"/>
      <c r="L304" s="26"/>
    </row>
    <row r="305" spans="1:12" ht="21" customHeight="1">
      <c r="A305" s="57"/>
      <c r="B305" s="57" t="s">
        <v>187</v>
      </c>
      <c r="C305" s="46"/>
      <c r="D305" s="116"/>
      <c r="E305" s="30"/>
      <c r="F305" s="169"/>
      <c r="G305" s="323" t="e">
        <f>Tracking_SI59[[#This Row],[Còn lại so với ĐH]]/Tracking_SI59[[#This Row],[Số  lượng trên ĐH]]</f>
        <v>#DIV/0!</v>
      </c>
      <c r="H305" s="164"/>
      <c r="I305" s="619"/>
      <c r="J305" s="164"/>
      <c r="K305" s="130"/>
      <c r="L305" s="26"/>
    </row>
    <row r="306" spans="1:12" ht="21" customHeight="1">
      <c r="A306" s="57"/>
      <c r="B306" s="57" t="s">
        <v>187</v>
      </c>
      <c r="C306" s="46"/>
      <c r="D306" s="116"/>
      <c r="E306" s="30"/>
      <c r="F306" s="164"/>
      <c r="G306" s="323" t="e">
        <f>Tracking_SI59[[#This Row],[Còn lại so với ĐH]]/Tracking_SI59[[#This Row],[Số  lượng trên ĐH]]</f>
        <v>#DIV/0!</v>
      </c>
      <c r="H306" s="164"/>
      <c r="I306" s="619"/>
      <c r="J306" s="164"/>
      <c r="K306" s="130"/>
      <c r="L306" s="26"/>
    </row>
    <row r="307" spans="1:12" ht="21" customHeight="1">
      <c r="A307" s="57"/>
      <c r="B307" s="57" t="s">
        <v>187</v>
      </c>
      <c r="C307" s="46"/>
      <c r="D307" s="108"/>
      <c r="E307" s="30"/>
      <c r="F307" s="164"/>
      <c r="G307" s="326" t="e">
        <f>Tracking_SI59[[#This Row],[Còn lại so với ĐH]]/Tracking_SI59[[#This Row],[Số  lượng trên ĐH]]</f>
        <v>#DIV/0!</v>
      </c>
      <c r="H307" s="164"/>
      <c r="I307" s="354"/>
      <c r="J307" s="164"/>
      <c r="K307" s="131"/>
      <c r="L307" s="26"/>
    </row>
    <row r="308" spans="1:12" ht="21" customHeight="1">
      <c r="A308" s="58" t="s">
        <v>106</v>
      </c>
      <c r="B308" s="815" t="s">
        <v>120</v>
      </c>
      <c r="C308" s="690" t="s">
        <v>124</v>
      </c>
      <c r="D308" s="691"/>
      <c r="E308" s="823"/>
      <c r="F308" s="824"/>
      <c r="G308" s="693" t="e">
        <f>Tracking_SI59[[#This Row],[Còn lại so với ĐH]]/Tracking_SI59[[#This Row],[Số  lượng trên ĐH]]</f>
        <v>#DIV/0!</v>
      </c>
      <c r="H308" s="813"/>
      <c r="I308" s="820"/>
      <c r="J308" s="802"/>
      <c r="K308" s="803"/>
      <c r="L308" s="802"/>
    </row>
    <row r="309" spans="1:12" ht="21.75" customHeight="1">
      <c r="A309" s="57"/>
      <c r="B309" s="421" t="s">
        <v>120</v>
      </c>
      <c r="C309" s="153"/>
      <c r="D309" s="113">
        <v>46077</v>
      </c>
      <c r="E309" s="299" t="s">
        <v>209</v>
      </c>
      <c r="F309" s="365">
        <v>10000</v>
      </c>
      <c r="G309" s="326">
        <f>Tracking_SI59[[#This Row],[Còn lại so với ĐH]]/Tracking_SI59[[#This Row],[Số  lượng trên ĐH]]</f>
        <v>-9.4000000000000004E-3</v>
      </c>
      <c r="H309" s="365">
        <f>SUM(H310)</f>
        <v>10094</v>
      </c>
      <c r="I309" s="365">
        <f>Tracking_SI59[[#This Row],[Số  lượng trên ĐH]]-Tracking_SI59[[#This Row],[Số  lượng giao]]</f>
        <v>-94</v>
      </c>
      <c r="J309" s="338"/>
      <c r="K309" s="138" t="s">
        <v>116</v>
      </c>
      <c r="L309" s="37"/>
    </row>
    <row r="310" spans="1:12" ht="21.75" customHeight="1">
      <c r="A310" s="57"/>
      <c r="B310" s="57" t="s">
        <v>120</v>
      </c>
      <c r="C310" s="153"/>
      <c r="D310" s="108" t="s">
        <v>262</v>
      </c>
      <c r="E310" s="364" t="s">
        <v>209</v>
      </c>
      <c r="F310" s="221"/>
      <c r="G310" s="326" t="e">
        <f>Tracking_SI59[[#This Row],[Còn lại so với ĐH]]/Tracking_SI59[[#This Row],[Số  lượng trên ĐH]]</f>
        <v>#DIV/0!</v>
      </c>
      <c r="H310" s="164">
        <v>10094</v>
      </c>
      <c r="I310" s="619"/>
      <c r="J310" s="618"/>
      <c r="K310" s="139" t="s">
        <v>118</v>
      </c>
      <c r="L310" s="37"/>
    </row>
    <row r="311" spans="1:12" ht="21.75" customHeight="1">
      <c r="A311" s="57" t="s">
        <v>115</v>
      </c>
      <c r="B311" s="57" t="s">
        <v>120</v>
      </c>
      <c r="C311" s="153"/>
      <c r="D311" s="215">
        <v>46183</v>
      </c>
      <c r="E311" s="348" t="s">
        <v>278</v>
      </c>
      <c r="F311" s="349">
        <v>15000</v>
      </c>
      <c r="G311" s="326">
        <f>Tracking_SI59[[#This Row],[Còn lại so với ĐH]]/Tracking_SI59[[#This Row],[Số  lượng trên ĐH]]</f>
        <v>4.0000000000000001E-3</v>
      </c>
      <c r="H311" s="349">
        <f>SUM(H312:H319)</f>
        <v>14940</v>
      </c>
      <c r="I311" s="623">
        <f>Tracking_SI59[[#This Row],[Số  lượng trên ĐH]]-Tracking_SI59[[#This Row],[Số  lượng giao]]</f>
        <v>60</v>
      </c>
      <c r="J311" s="830">
        <v>43700</v>
      </c>
      <c r="K311" s="346"/>
      <c r="L311" s="37"/>
    </row>
    <row r="312" spans="1:12" ht="21.75" customHeight="1">
      <c r="A312" s="57"/>
      <c r="B312" s="57" t="s">
        <v>120</v>
      </c>
      <c r="C312" s="153"/>
      <c r="D312" s="108">
        <v>46207</v>
      </c>
      <c r="E312" s="30" t="s">
        <v>278</v>
      </c>
      <c r="F312" s="221"/>
      <c r="G312" s="326" t="e">
        <f>Tracking_SI59[[#This Row],[Còn lại so với ĐH]]/Tracking_SI59[[#This Row],[Số  lượng trên ĐH]]</f>
        <v>#DIV/0!</v>
      </c>
      <c r="H312" s="164">
        <v>2757</v>
      </c>
      <c r="I312" s="619"/>
      <c r="J312" s="618"/>
      <c r="K312" s="139"/>
      <c r="L312" s="37"/>
    </row>
    <row r="313" spans="1:12" ht="21.75" customHeight="1">
      <c r="A313" s="57"/>
      <c r="B313" s="57" t="s">
        <v>120</v>
      </c>
      <c r="C313" s="153"/>
      <c r="D313" s="108">
        <v>46218</v>
      </c>
      <c r="E313" s="30" t="s">
        <v>278</v>
      </c>
      <c r="F313" s="221"/>
      <c r="G313" s="326" t="e">
        <f>Tracking_SI59[[#This Row],[Còn lại so với ĐH]]/Tracking_SI59[[#This Row],[Số  lượng trên ĐH]]</f>
        <v>#DIV/0!</v>
      </c>
      <c r="H313" s="166">
        <v>2738</v>
      </c>
      <c r="I313" s="619"/>
      <c r="J313" s="618"/>
      <c r="K313" s="139"/>
      <c r="L313" s="37"/>
    </row>
    <row r="314" spans="1:12" ht="21.75" customHeight="1">
      <c r="A314" s="57"/>
      <c r="B314" s="57" t="s">
        <v>120</v>
      </c>
      <c r="C314" s="153"/>
      <c r="D314" s="108">
        <v>46221</v>
      </c>
      <c r="E314" s="30" t="s">
        <v>278</v>
      </c>
      <c r="F314" s="221"/>
      <c r="G314" s="326" t="e">
        <f>Tracking_SI59[[#This Row],[Còn lại so với ĐH]]/Tracking_SI59[[#This Row],[Số  lượng trên ĐH]]</f>
        <v>#DIV/0!</v>
      </c>
      <c r="H314" s="166">
        <v>799</v>
      </c>
      <c r="I314" s="619"/>
      <c r="J314" s="618"/>
      <c r="K314" s="139"/>
      <c r="L314" s="37"/>
    </row>
    <row r="315" spans="1:12" ht="21.75" customHeight="1">
      <c r="A315" s="57"/>
      <c r="B315" s="57" t="s">
        <v>120</v>
      </c>
      <c r="C315" s="153"/>
      <c r="D315" s="108">
        <v>46225</v>
      </c>
      <c r="E315" s="30" t="s">
        <v>278</v>
      </c>
      <c r="F315" s="221"/>
      <c r="G315" s="326" t="e">
        <f>Tracking_SI59[[#This Row],[Còn lại so với ĐH]]/Tracking_SI59[[#This Row],[Số  lượng trên ĐH]]</f>
        <v>#DIV/0!</v>
      </c>
      <c r="H315" s="166">
        <v>398</v>
      </c>
      <c r="I315" s="619"/>
      <c r="J315" s="618"/>
      <c r="K315" s="139"/>
      <c r="L315" s="37"/>
    </row>
    <row r="316" spans="1:12" ht="21.75" customHeight="1">
      <c r="A316" s="57"/>
      <c r="B316" s="57" t="s">
        <v>120</v>
      </c>
      <c r="C316" s="153"/>
      <c r="D316" s="108">
        <v>46230</v>
      </c>
      <c r="E316" s="30" t="s">
        <v>278</v>
      </c>
      <c r="F316" s="221"/>
      <c r="G316" s="326" t="e">
        <f>Tracking_SI59[[#This Row],[Còn lại so với ĐH]]/Tracking_SI59[[#This Row],[Số  lượng trên ĐH]]</f>
        <v>#DIV/0!</v>
      </c>
      <c r="H316" s="166">
        <v>1586</v>
      </c>
      <c r="I316" s="619"/>
      <c r="J316" s="618"/>
      <c r="K316" s="139"/>
      <c r="L316" s="37"/>
    </row>
    <row r="317" spans="1:12" ht="21.75" customHeight="1">
      <c r="A317" s="57"/>
      <c r="B317" s="57" t="s">
        <v>120</v>
      </c>
      <c r="C317" s="153"/>
      <c r="D317" s="108">
        <v>46246</v>
      </c>
      <c r="E317" s="30" t="s">
        <v>278</v>
      </c>
      <c r="F317" s="221"/>
      <c r="G317" s="326" t="e">
        <f>Tracking_SI59[[#This Row],[Còn lại so với ĐH]]/Tracking_SI59[[#This Row],[Số  lượng trên ĐH]]</f>
        <v>#DIV/0!</v>
      </c>
      <c r="H317" s="166">
        <v>2692</v>
      </c>
      <c r="I317" s="619"/>
      <c r="J317" s="618"/>
      <c r="K317" s="139"/>
      <c r="L317" s="37"/>
    </row>
    <row r="318" spans="1:12" ht="21.75" customHeight="1">
      <c r="A318" s="57"/>
      <c r="B318" s="57" t="s">
        <v>120</v>
      </c>
      <c r="C318" s="153"/>
      <c r="D318" s="108">
        <v>46311</v>
      </c>
      <c r="E318" s="30" t="s">
        <v>278</v>
      </c>
      <c r="F318" s="221"/>
      <c r="G318" s="326" t="e">
        <f>Tracking_SI59[[#This Row],[Còn lại so với ĐH]]/Tracking_SI59[[#This Row],[Số  lượng trên ĐH]]</f>
        <v>#DIV/0!</v>
      </c>
      <c r="H318" s="166">
        <v>3970</v>
      </c>
      <c r="I318" s="619"/>
      <c r="J318" s="618"/>
      <c r="K318" s="139"/>
      <c r="L318" s="37"/>
    </row>
    <row r="319" spans="1:12" ht="21.75" customHeight="1">
      <c r="A319" s="57"/>
      <c r="B319" s="57" t="s">
        <v>120</v>
      </c>
      <c r="C319" s="153"/>
      <c r="D319" s="108"/>
      <c r="E319" s="30" t="s">
        <v>278</v>
      </c>
      <c r="F319" s="221"/>
      <c r="G319" s="326" t="e">
        <f>Tracking_SI59[[#This Row],[Còn lại so với ĐH]]/Tracking_SI59[[#This Row],[Số  lượng trên ĐH]]</f>
        <v>#DIV/0!</v>
      </c>
      <c r="H319" s="166"/>
      <c r="I319" s="619"/>
      <c r="J319" s="618"/>
      <c r="K319" s="139"/>
      <c r="L319" s="37"/>
    </row>
    <row r="320" spans="1:12" ht="21.75" customHeight="1">
      <c r="A320" s="58" t="s">
        <v>106</v>
      </c>
      <c r="B320" s="815" t="s">
        <v>162</v>
      </c>
      <c r="C320" s="690" t="s">
        <v>163</v>
      </c>
      <c r="D320" s="691"/>
      <c r="E320" s="823"/>
      <c r="F320" s="805"/>
      <c r="G320" s="693" t="e">
        <f>Tracking_SI59[[#This Row],[Còn lại so với ĐH]]/Tracking_SI59[[#This Row],[Số  lượng trên ĐH]]</f>
        <v>#DIV/0!</v>
      </c>
      <c r="H320" s="825"/>
      <c r="I320" s="820"/>
      <c r="J320" s="821"/>
      <c r="K320" s="822"/>
      <c r="L320" s="802"/>
    </row>
    <row r="321" spans="1:13" ht="21.75" customHeight="1">
      <c r="A321" s="52" t="s">
        <v>115</v>
      </c>
      <c r="B321" s="52" t="s">
        <v>162</v>
      </c>
      <c r="C321" s="593"/>
      <c r="D321" s="341"/>
      <c r="E321" s="342" t="s">
        <v>279</v>
      </c>
      <c r="F321" s="343">
        <v>18000</v>
      </c>
      <c r="G321" s="697">
        <f>Tracking_SI59[[#This Row],[Còn lại so với ĐH]]/Tracking_SI59[[#This Row],[Số  lượng trên ĐH]]</f>
        <v>0.26466666666666666</v>
      </c>
      <c r="H321" s="343">
        <f>SUM(H322:H327)</f>
        <v>13236</v>
      </c>
      <c r="I321" s="602">
        <f>Tracking_SI59[[#This Row],[Số  lượng trên ĐH]]-Tracking_SI59[[#This Row],[Số  lượng giao]]</f>
        <v>4764</v>
      </c>
      <c r="J321" s="603">
        <v>44900</v>
      </c>
      <c r="K321" s="133"/>
      <c r="L321" s="37"/>
    </row>
    <row r="322" spans="1:13" ht="21.75" customHeight="1">
      <c r="A322" s="57"/>
      <c r="B322" s="57" t="s">
        <v>162</v>
      </c>
      <c r="C322" s="48"/>
      <c r="D322" s="108">
        <v>46200</v>
      </c>
      <c r="E322" s="30" t="s">
        <v>279</v>
      </c>
      <c r="F322" s="164"/>
      <c r="G322" s="326" t="e">
        <f>Tracking_SI59[[#This Row],[Còn lại so với ĐH]]/Tracking_SI59[[#This Row],[Số  lượng trên ĐH]]</f>
        <v>#DIV/0!</v>
      </c>
      <c r="H322" s="164">
        <v>2978</v>
      </c>
      <c r="I322" s="606"/>
      <c r="J322" s="618"/>
      <c r="K322" s="139"/>
      <c r="L322" s="37"/>
    </row>
    <row r="323" spans="1:13" ht="21.75" customHeight="1">
      <c r="A323" s="57"/>
      <c r="B323" s="57" t="s">
        <v>162</v>
      </c>
      <c r="C323" s="152"/>
      <c r="D323" s="116">
        <v>46207</v>
      </c>
      <c r="E323" s="30" t="s">
        <v>279</v>
      </c>
      <c r="F323" s="166"/>
      <c r="G323" s="326" t="e">
        <f>Tracking_SI59[[#This Row],[Còn lại so với ĐH]]/Tracking_SI59[[#This Row],[Số  lượng trên ĐH]]</f>
        <v>#DIV/0!</v>
      </c>
      <c r="H323" s="166">
        <v>3713</v>
      </c>
      <c r="I323" s="606"/>
      <c r="J323" s="618"/>
      <c r="K323" s="139"/>
      <c r="L323" s="37"/>
    </row>
    <row r="324" spans="1:13" ht="21.75" customHeight="1">
      <c r="A324" s="57"/>
      <c r="B324" s="57" t="s">
        <v>162</v>
      </c>
      <c r="C324" s="152"/>
      <c r="D324" s="116">
        <v>46218</v>
      </c>
      <c r="E324" s="30" t="s">
        <v>279</v>
      </c>
      <c r="F324" s="166"/>
      <c r="G324" s="326" t="e">
        <f>Tracking_SI59[[#This Row],[Còn lại so với ĐH]]/Tracking_SI59[[#This Row],[Số  lượng trên ĐH]]</f>
        <v>#DIV/0!</v>
      </c>
      <c r="H324" s="166">
        <v>1284</v>
      </c>
      <c r="I324" s="606"/>
      <c r="J324" s="618"/>
      <c r="K324" s="139"/>
      <c r="L324" s="37"/>
    </row>
    <row r="325" spans="1:13" ht="21.75" customHeight="1">
      <c r="A325" s="57"/>
      <c r="B325" s="57" t="s">
        <v>162</v>
      </c>
      <c r="C325" s="152"/>
      <c r="D325" s="116">
        <v>46251</v>
      </c>
      <c r="E325" s="30" t="s">
        <v>279</v>
      </c>
      <c r="F325" s="166"/>
      <c r="G325" s="326" t="e">
        <f>Tracking_SI59[[#This Row],[Còn lại so với ĐH]]/Tracking_SI59[[#This Row],[Số  lượng trên ĐH]]</f>
        <v>#DIV/0!</v>
      </c>
      <c r="H325" s="166">
        <v>5261</v>
      </c>
      <c r="I325" s="606"/>
      <c r="J325" s="618"/>
      <c r="K325" s="139"/>
      <c r="L325" s="37"/>
    </row>
    <row r="326" spans="1:13" ht="21.75" customHeight="1">
      <c r="A326" s="57"/>
      <c r="B326" s="57" t="s">
        <v>162</v>
      </c>
      <c r="C326" s="152"/>
      <c r="D326" s="116"/>
      <c r="E326" s="30" t="s">
        <v>279</v>
      </c>
      <c r="F326" s="166"/>
      <c r="G326" s="326" t="e">
        <f>Tracking_SI59[[#This Row],[Còn lại so với ĐH]]/Tracking_SI59[[#This Row],[Số  lượng trên ĐH]]</f>
        <v>#DIV/0!</v>
      </c>
      <c r="H326" s="166"/>
      <c r="I326" s="606"/>
      <c r="J326" s="618"/>
      <c r="K326" s="139"/>
      <c r="L326" s="37"/>
    </row>
    <row r="327" spans="1:13" ht="21.75" customHeight="1">
      <c r="A327" s="57"/>
      <c r="B327" s="57" t="s">
        <v>162</v>
      </c>
      <c r="C327" s="152"/>
      <c r="D327" s="116"/>
      <c r="E327" s="30" t="s">
        <v>279</v>
      </c>
      <c r="F327" s="169"/>
      <c r="G327" s="323" t="e">
        <f>Tracking_SI59[[#This Row],[Còn lại so với ĐH]]/Tracking_SI59[[#This Row],[Số  lượng trên ĐH]]</f>
        <v>#DIV/0!</v>
      </c>
      <c r="H327" s="166"/>
      <c r="I327" s="606"/>
      <c r="J327" s="618"/>
      <c r="K327" s="139"/>
      <c r="L327" s="37"/>
    </row>
    <row r="328" spans="1:13" ht="21.75" customHeight="1">
      <c r="A328" s="57"/>
      <c r="B328" s="57" t="s">
        <v>162</v>
      </c>
      <c r="C328" s="234"/>
      <c r="D328" s="341">
        <v>46314</v>
      </c>
      <c r="E328" s="342" t="s">
        <v>361</v>
      </c>
      <c r="F328" s="343">
        <v>5000</v>
      </c>
      <c r="G328" s="697" t="e">
        <f>Tracking_SI59[[#This Row],[Còn lại so với ĐH]]/Tracking_SI59[[#This Row],[Số  lượng trên ĐH]]</f>
        <v>#REF!</v>
      </c>
      <c r="H328" s="343" t="e">
        <f>SUM(#REF!)</f>
        <v>#REF!</v>
      </c>
      <c r="I328" s="602" t="e">
        <f>Tracking_SI59[[#This Row],[Số  lượng trên ĐH]]-Tracking_SI59[[#This Row],[Số  lượng giao]]</f>
        <v>#REF!</v>
      </c>
      <c r="J328" s="603">
        <v>44900</v>
      </c>
      <c r="K328" s="139"/>
      <c r="L328" s="37"/>
      <c r="M328" s="326"/>
    </row>
    <row r="329" spans="1:13" ht="21.75" customHeight="1">
      <c r="A329" s="58" t="s">
        <v>106</v>
      </c>
      <c r="B329" s="815" t="s">
        <v>50</v>
      </c>
      <c r="C329" s="690" t="s">
        <v>299</v>
      </c>
      <c r="D329" s="691"/>
      <c r="E329" s="826"/>
      <c r="F329" s="805"/>
      <c r="G329" s="819"/>
      <c r="H329" s="808"/>
      <c r="I329" s="820"/>
      <c r="J329" s="821"/>
      <c r="K329" s="822"/>
      <c r="L329" s="802"/>
    </row>
    <row r="330" spans="1:13" ht="21.75" customHeight="1">
      <c r="A330" s="57"/>
      <c r="B330" s="421" t="s">
        <v>50</v>
      </c>
      <c r="C330" s="153"/>
      <c r="D330" s="113">
        <v>46086</v>
      </c>
      <c r="E330" s="739" t="s">
        <v>212</v>
      </c>
      <c r="F330" s="165">
        <v>20000</v>
      </c>
      <c r="G330" s="756">
        <f>Tracking_SI59[[#This Row],[Còn lại so với ĐH]]/Tracking_SI59[[#This Row],[Số  lượng trên ĐH]]</f>
        <v>0</v>
      </c>
      <c r="H330" s="365">
        <f>SUM(H331:H336)</f>
        <v>20000</v>
      </c>
      <c r="I330" s="365">
        <f>Tracking_SI59[[#This Row],[Số  lượng trên ĐH]]-Tracking_SI59[[#This Row],[Số  lượng giao]]</f>
        <v>0</v>
      </c>
      <c r="J330" s="338">
        <v>34900</v>
      </c>
      <c r="K330" s="127" t="s">
        <v>116</v>
      </c>
      <c r="L330" s="36"/>
    </row>
    <row r="331" spans="1:13" ht="21.75" customHeight="1">
      <c r="A331" s="57"/>
      <c r="B331" s="57" t="s">
        <v>50</v>
      </c>
      <c r="C331" s="153"/>
      <c r="D331" s="116" t="s">
        <v>262</v>
      </c>
      <c r="E331" s="737" t="s">
        <v>212</v>
      </c>
      <c r="F331" s="169"/>
      <c r="G331" s="323"/>
      <c r="H331" s="169">
        <v>2457</v>
      </c>
      <c r="I331" s="354"/>
      <c r="J331" s="618"/>
      <c r="K331" s="138" t="s">
        <v>118</v>
      </c>
      <c r="L331" s="1"/>
    </row>
    <row r="332" spans="1:13" ht="21.75" customHeight="1">
      <c r="A332" s="57"/>
      <c r="B332" s="57" t="s">
        <v>50</v>
      </c>
      <c r="C332" s="153"/>
      <c r="D332" s="116">
        <v>46141</v>
      </c>
      <c r="E332" s="735" t="s">
        <v>212</v>
      </c>
      <c r="F332" s="626"/>
      <c r="G332" s="323"/>
      <c r="H332" s="166">
        <v>2695</v>
      </c>
      <c r="I332" s="619"/>
      <c r="J332" s="618"/>
      <c r="K332" s="138" t="s">
        <v>118</v>
      </c>
      <c r="L332" s="37"/>
    </row>
    <row r="333" spans="1:13" ht="25.5" customHeight="1">
      <c r="A333" s="57"/>
      <c r="B333" s="57" t="s">
        <v>50</v>
      </c>
      <c r="C333" s="153"/>
      <c r="D333" s="116">
        <v>46148</v>
      </c>
      <c r="E333" s="737" t="s">
        <v>212</v>
      </c>
      <c r="F333" s="169"/>
      <c r="G333" s="323"/>
      <c r="H333" s="169">
        <v>1617</v>
      </c>
      <c r="I333" s="619"/>
      <c r="J333" s="618"/>
      <c r="K333" s="138" t="s">
        <v>118</v>
      </c>
      <c r="L333" s="37"/>
    </row>
    <row r="334" spans="1:13" ht="25.5" customHeight="1">
      <c r="A334" s="57"/>
      <c r="B334" s="57" t="s">
        <v>50</v>
      </c>
      <c r="C334" s="153"/>
      <c r="D334" s="116">
        <v>46151</v>
      </c>
      <c r="E334" s="735" t="s">
        <v>212</v>
      </c>
      <c r="F334" s="169"/>
      <c r="G334" s="323"/>
      <c r="H334" s="169">
        <v>4046</v>
      </c>
      <c r="I334" s="619"/>
      <c r="J334" s="618"/>
      <c r="K334" s="138" t="s">
        <v>118</v>
      </c>
      <c r="L334" s="37"/>
    </row>
    <row r="335" spans="1:13" ht="25.5" customHeight="1">
      <c r="A335" s="57"/>
      <c r="B335" s="57" t="s">
        <v>50</v>
      </c>
      <c r="C335" s="153"/>
      <c r="D335" s="108">
        <v>46155</v>
      </c>
      <c r="E335" s="735" t="s">
        <v>212</v>
      </c>
      <c r="F335" s="169"/>
      <c r="G335" s="323"/>
      <c r="H335" s="625">
        <v>2937</v>
      </c>
      <c r="I335" s="619"/>
      <c r="J335" s="618"/>
      <c r="K335" s="138" t="s">
        <v>118</v>
      </c>
      <c r="L335" s="37"/>
    </row>
    <row r="336" spans="1:13" ht="25.5" customHeight="1">
      <c r="A336" s="57"/>
      <c r="B336" s="57" t="s">
        <v>50</v>
      </c>
      <c r="C336" s="153"/>
      <c r="D336" s="116">
        <v>46157</v>
      </c>
      <c r="E336" s="735" t="s">
        <v>212</v>
      </c>
      <c r="F336" s="169"/>
      <c r="G336" s="323"/>
      <c r="H336" s="169">
        <v>6248</v>
      </c>
      <c r="I336" s="619"/>
      <c r="J336" s="618"/>
      <c r="K336" s="138" t="s">
        <v>118</v>
      </c>
      <c r="L336" s="37"/>
    </row>
    <row r="337" spans="1:15" ht="21.75" customHeight="1">
      <c r="A337" s="57"/>
      <c r="B337" s="421" t="s">
        <v>50</v>
      </c>
      <c r="C337" s="153"/>
      <c r="D337" s="341">
        <v>46140</v>
      </c>
      <c r="E337" s="740" t="s">
        <v>263</v>
      </c>
      <c r="F337" s="343">
        <v>20000</v>
      </c>
      <c r="G337" s="697">
        <f>Tracking_SI59[[#This Row],[Còn lại so với ĐH]]/Tracking_SI59[[#This Row],[Số  lượng trên ĐH]]</f>
        <v>0</v>
      </c>
      <c r="H337" s="378">
        <f>SUM(H338:H345)</f>
        <v>20000</v>
      </c>
      <c r="I337" s="636">
        <f>Tracking_SI59[[#This Row],[Số  lượng trên ĐH]]-Tracking_SI59[[#This Row],[Số  lượng giao]]</f>
        <v>0</v>
      </c>
      <c r="J337" s="601">
        <v>46500</v>
      </c>
      <c r="K337" s="127" t="s">
        <v>116</v>
      </c>
      <c r="L337" s="32"/>
      <c r="O337" s="370"/>
    </row>
    <row r="338" spans="1:15" ht="21.75" customHeight="1">
      <c r="A338" s="58"/>
      <c r="B338" s="57" t="s">
        <v>50</v>
      </c>
      <c r="C338" s="110"/>
      <c r="D338" s="116">
        <v>46157</v>
      </c>
      <c r="E338" s="737" t="s">
        <v>263</v>
      </c>
      <c r="F338" s="172"/>
      <c r="G338" s="326"/>
      <c r="H338" s="628">
        <f>7373-H336</f>
        <v>1125</v>
      </c>
      <c r="I338" s="627"/>
      <c r="J338" s="624"/>
      <c r="K338" s="138" t="s">
        <v>118</v>
      </c>
      <c r="L338" s="36"/>
    </row>
    <row r="339" spans="1:15" ht="21.75" customHeight="1">
      <c r="A339" s="57"/>
      <c r="B339" s="57" t="s">
        <v>50</v>
      </c>
      <c r="C339" s="110"/>
      <c r="D339" s="108">
        <v>46161</v>
      </c>
      <c r="E339" s="737" t="s">
        <v>263</v>
      </c>
      <c r="F339" s="166"/>
      <c r="G339" s="323"/>
      <c r="H339" s="164">
        <v>275</v>
      </c>
      <c r="I339" s="606"/>
      <c r="J339" s="618"/>
      <c r="K339" s="138" t="s">
        <v>118</v>
      </c>
      <c r="L339" s="37"/>
    </row>
    <row r="340" spans="1:15" ht="21.75" customHeight="1">
      <c r="A340" s="57"/>
      <c r="B340" s="57" t="s">
        <v>50</v>
      </c>
      <c r="C340" s="110"/>
      <c r="D340" s="108">
        <v>46161</v>
      </c>
      <c r="E340" s="737" t="s">
        <v>263</v>
      </c>
      <c r="F340" s="166"/>
      <c r="G340" s="323"/>
      <c r="H340" s="164">
        <v>7065</v>
      </c>
      <c r="I340" s="606"/>
      <c r="J340" s="618"/>
      <c r="K340" s="138" t="s">
        <v>118</v>
      </c>
      <c r="L340" s="37"/>
    </row>
    <row r="341" spans="1:15" ht="21.75" customHeight="1">
      <c r="A341" s="57"/>
      <c r="B341" s="57" t="s">
        <v>50</v>
      </c>
      <c r="C341" s="110"/>
      <c r="D341" s="116">
        <v>46175</v>
      </c>
      <c r="E341" s="737" t="s">
        <v>263</v>
      </c>
      <c r="F341" s="166"/>
      <c r="G341" s="323"/>
      <c r="H341" s="166">
        <v>2721</v>
      </c>
      <c r="I341" s="606"/>
      <c r="J341" s="618"/>
      <c r="K341" s="138" t="s">
        <v>118</v>
      </c>
      <c r="L341" s="37"/>
    </row>
    <row r="342" spans="1:15" ht="21.75" customHeight="1">
      <c r="A342" s="57"/>
      <c r="B342" s="57" t="s">
        <v>50</v>
      </c>
      <c r="C342" s="110"/>
      <c r="D342" s="111">
        <v>46184</v>
      </c>
      <c r="E342" s="737" t="s">
        <v>263</v>
      </c>
      <c r="F342" s="166"/>
      <c r="G342" s="323"/>
      <c r="H342" s="166">
        <v>1917</v>
      </c>
      <c r="I342" s="606"/>
      <c r="J342" s="618"/>
      <c r="K342" s="138" t="s">
        <v>118</v>
      </c>
      <c r="L342" s="37"/>
    </row>
    <row r="343" spans="1:15" ht="21.75" customHeight="1">
      <c r="A343" s="57"/>
      <c r="B343" s="57" t="s">
        <v>50</v>
      </c>
      <c r="C343" s="110"/>
      <c r="D343" s="108">
        <v>46200</v>
      </c>
      <c r="E343" s="737" t="s">
        <v>263</v>
      </c>
      <c r="F343" s="166"/>
      <c r="G343" s="323"/>
      <c r="H343" s="166">
        <v>2174</v>
      </c>
      <c r="I343" s="606"/>
      <c r="J343" s="618"/>
      <c r="K343" s="138" t="s">
        <v>118</v>
      </c>
      <c r="L343" s="37"/>
    </row>
    <row r="344" spans="1:15" ht="21.75" customHeight="1">
      <c r="A344" s="57"/>
      <c r="B344" s="57" t="s">
        <v>50</v>
      </c>
      <c r="C344" s="110"/>
      <c r="D344" s="111">
        <v>46239</v>
      </c>
      <c r="E344" s="737" t="s">
        <v>263</v>
      </c>
      <c r="F344" s="166"/>
      <c r="G344" s="323"/>
      <c r="H344" s="166">
        <v>3523</v>
      </c>
      <c r="I344" s="606"/>
      <c r="J344" s="618"/>
      <c r="K344" s="138" t="s">
        <v>118</v>
      </c>
      <c r="L344" s="37"/>
    </row>
    <row r="345" spans="1:15" ht="21.75" customHeight="1">
      <c r="A345" s="57"/>
      <c r="B345" s="57" t="s">
        <v>50</v>
      </c>
      <c r="C345" s="110"/>
      <c r="D345" s="288">
        <v>46241</v>
      </c>
      <c r="E345" s="737" t="s">
        <v>263</v>
      </c>
      <c r="F345" s="166"/>
      <c r="G345" s="323"/>
      <c r="H345" s="166">
        <v>1200</v>
      </c>
      <c r="I345" s="606"/>
      <c r="J345" s="618"/>
      <c r="K345" s="138" t="s">
        <v>118</v>
      </c>
      <c r="L345" s="37"/>
    </row>
    <row r="346" spans="1:15" ht="21.75" customHeight="1">
      <c r="A346" s="57"/>
      <c r="B346" s="57" t="s">
        <v>50</v>
      </c>
      <c r="C346" s="110"/>
      <c r="D346" s="765">
        <v>46149</v>
      </c>
      <c r="E346" s="766" t="s">
        <v>271</v>
      </c>
      <c r="F346" s="767">
        <v>20000</v>
      </c>
      <c r="G346" s="697">
        <f>Tracking_SI59[[#This Row],[Còn lại so với ĐH]]/Tracking_SI59[[#This Row],[Số  lượng trên ĐH]]</f>
        <v>1.5049999999999999E-2</v>
      </c>
      <c r="H346" s="768">
        <f>SUM(H347:H354)</f>
        <v>19699</v>
      </c>
      <c r="I346" s="768">
        <f>Tracking_SI59[[#This Row],[Số  lượng trên ĐH]]-Tracking_SI59[[#This Row],[Số  lượng giao]]</f>
        <v>301</v>
      </c>
      <c r="J346" s="769">
        <v>46500</v>
      </c>
      <c r="K346" s="770" t="s">
        <v>116</v>
      </c>
      <c r="L346" s="37"/>
    </row>
    <row r="347" spans="1:15" ht="21.75" customHeight="1">
      <c r="A347" s="57"/>
      <c r="B347" s="57" t="s">
        <v>50</v>
      </c>
      <c r="C347" s="110"/>
      <c r="D347" s="116">
        <v>46241</v>
      </c>
      <c r="E347" s="737" t="s">
        <v>271</v>
      </c>
      <c r="F347" s="164"/>
      <c r="G347" s="323"/>
      <c r="H347" s="164">
        <f>2731-H345</f>
        <v>1531</v>
      </c>
      <c r="I347" s="606"/>
      <c r="J347" s="618"/>
      <c r="K347" s="138" t="s">
        <v>118</v>
      </c>
      <c r="L347" s="37"/>
    </row>
    <row r="348" spans="1:15" ht="21.75" customHeight="1">
      <c r="A348" s="57"/>
      <c r="B348" s="57" t="s">
        <v>50</v>
      </c>
      <c r="C348" s="110"/>
      <c r="D348" s="116">
        <v>46244</v>
      </c>
      <c r="E348" s="737" t="s">
        <v>271</v>
      </c>
      <c r="F348" s="164"/>
      <c r="G348" s="323"/>
      <c r="H348" s="164">
        <v>2246</v>
      </c>
      <c r="I348" s="606"/>
      <c r="J348" s="618"/>
      <c r="K348" s="138" t="s">
        <v>118</v>
      </c>
      <c r="L348" s="37"/>
    </row>
    <row r="349" spans="1:15" ht="21.75" customHeight="1">
      <c r="A349" s="57"/>
      <c r="B349" s="57" t="s">
        <v>50</v>
      </c>
      <c r="C349" s="110"/>
      <c r="D349" s="116">
        <v>46246</v>
      </c>
      <c r="E349" s="737" t="s">
        <v>271</v>
      </c>
      <c r="F349" s="164"/>
      <c r="G349" s="323"/>
      <c r="H349" s="164">
        <v>2365</v>
      </c>
      <c r="I349" s="606"/>
      <c r="J349" s="618"/>
      <c r="K349" s="138" t="s">
        <v>118</v>
      </c>
      <c r="L349" s="37"/>
    </row>
    <row r="350" spans="1:15" ht="21.75" customHeight="1">
      <c r="A350" s="57"/>
      <c r="B350" s="57" t="s">
        <v>50</v>
      </c>
      <c r="C350" s="110"/>
      <c r="D350" s="116">
        <v>46273</v>
      </c>
      <c r="E350" s="737" t="s">
        <v>271</v>
      </c>
      <c r="F350" s="164"/>
      <c r="G350" s="323"/>
      <c r="H350" s="164">
        <v>3833</v>
      </c>
      <c r="I350" s="606"/>
      <c r="J350" s="618"/>
      <c r="K350" s="138" t="s">
        <v>118</v>
      </c>
      <c r="L350" s="37"/>
    </row>
    <row r="351" spans="1:15" ht="21.75" customHeight="1">
      <c r="A351" s="57"/>
      <c r="B351" s="57" t="s">
        <v>50</v>
      </c>
      <c r="C351" s="110"/>
      <c r="D351" s="116">
        <v>46276</v>
      </c>
      <c r="E351" s="737" t="s">
        <v>271</v>
      </c>
      <c r="F351" s="164"/>
      <c r="G351" s="323"/>
      <c r="H351" s="164">
        <v>2131</v>
      </c>
      <c r="I351" s="606"/>
      <c r="J351" s="618"/>
      <c r="K351" s="138" t="s">
        <v>118</v>
      </c>
      <c r="L351" s="37"/>
    </row>
    <row r="352" spans="1:15" ht="21.75" customHeight="1">
      <c r="A352" s="57"/>
      <c r="B352" s="57" t="s">
        <v>50</v>
      </c>
      <c r="C352" s="110"/>
      <c r="D352" s="116">
        <v>46280</v>
      </c>
      <c r="E352" s="734" t="s">
        <v>271</v>
      </c>
      <c r="F352" s="164"/>
      <c r="G352" s="323"/>
      <c r="H352" s="727">
        <v>2902</v>
      </c>
      <c r="I352" s="606"/>
      <c r="J352" s="618"/>
      <c r="K352" s="138" t="s">
        <v>118</v>
      </c>
      <c r="L352" s="37"/>
    </row>
    <row r="353" spans="1:20" ht="21.75" customHeight="1">
      <c r="A353" s="57"/>
      <c r="B353" s="57" t="s">
        <v>50</v>
      </c>
      <c r="C353" s="294"/>
      <c r="D353" s="116">
        <v>46294</v>
      </c>
      <c r="E353" s="734" t="s">
        <v>271</v>
      </c>
      <c r="F353" s="164"/>
      <c r="G353" s="763"/>
      <c r="H353" s="683">
        <v>2197</v>
      </c>
      <c r="I353" s="606"/>
      <c r="J353" s="618"/>
      <c r="K353" s="139" t="s">
        <v>118</v>
      </c>
      <c r="L353" s="37"/>
      <c r="M353" s="326"/>
    </row>
    <row r="354" spans="1:20" ht="21.75" customHeight="1">
      <c r="A354" s="57"/>
      <c r="B354" s="57" t="s">
        <v>50</v>
      </c>
      <c r="C354" s="781"/>
      <c r="D354" s="116">
        <v>46297</v>
      </c>
      <c r="E354" s="734" t="s">
        <v>271</v>
      </c>
      <c r="F354" s="164"/>
      <c r="G354" s="763"/>
      <c r="H354" s="683">
        <v>2494</v>
      </c>
      <c r="I354" s="606"/>
      <c r="J354" s="618"/>
      <c r="K354" s="139" t="s">
        <v>118</v>
      </c>
      <c r="L354" s="37"/>
      <c r="M354" s="326"/>
    </row>
    <row r="355" spans="1:20" ht="21.75" customHeight="1">
      <c r="A355" s="57" t="s">
        <v>115</v>
      </c>
      <c r="B355" s="57" t="s">
        <v>50</v>
      </c>
      <c r="C355" s="110"/>
      <c r="D355" s="215">
        <v>46277</v>
      </c>
      <c r="E355" s="743" t="s">
        <v>342</v>
      </c>
      <c r="F355" s="349">
        <v>16000</v>
      </c>
      <c r="G355" s="326">
        <f>Tracking_SI59[[#This Row],[Còn lại so với ĐH]]/Tracking_SI59[[#This Row],[Số  lượng trên ĐH]]</f>
        <v>0.32556249999999998</v>
      </c>
      <c r="H355" s="623">
        <f>SUM(H356:H360)</f>
        <v>10791</v>
      </c>
      <c r="I355" s="623">
        <f>Tracking_SI59[[#This Row],[Số  lượng trên ĐH]]-Tracking_SI59[[#This Row],[Số  lượng giao]]</f>
        <v>5209</v>
      </c>
      <c r="J355" s="639">
        <v>46000</v>
      </c>
      <c r="K355" s="346"/>
      <c r="L355" s="37"/>
    </row>
    <row r="356" spans="1:20" ht="21.75" customHeight="1">
      <c r="A356" s="57"/>
      <c r="B356" s="57" t="s">
        <v>50</v>
      </c>
      <c r="C356" s="294"/>
      <c r="D356" s="215">
        <v>46302</v>
      </c>
      <c r="E356" s="764" t="s">
        <v>342</v>
      </c>
      <c r="F356" s="349"/>
      <c r="G356" s="763"/>
      <c r="H356" s="166">
        <v>4070</v>
      </c>
      <c r="I356" s="623"/>
      <c r="J356" s="610"/>
      <c r="K356" s="133"/>
      <c r="L356" s="37"/>
      <c r="M356" s="326"/>
    </row>
    <row r="357" spans="1:20" ht="21.75" customHeight="1">
      <c r="A357" s="57"/>
      <c r="B357" s="57" t="s">
        <v>50</v>
      </c>
      <c r="C357" s="294"/>
      <c r="D357" s="215">
        <v>46304</v>
      </c>
      <c r="E357" s="764" t="s">
        <v>342</v>
      </c>
      <c r="F357" s="349"/>
      <c r="G357" s="763"/>
      <c r="H357" s="166">
        <v>3941</v>
      </c>
      <c r="I357" s="623"/>
      <c r="J357" s="610"/>
      <c r="K357" s="133"/>
      <c r="L357" s="37"/>
      <c r="M357" s="326"/>
    </row>
    <row r="358" spans="1:20" ht="21.75" customHeight="1">
      <c r="A358" s="57"/>
      <c r="B358" s="57" t="s">
        <v>50</v>
      </c>
      <c r="C358" s="110"/>
      <c r="D358" s="108">
        <v>46308</v>
      </c>
      <c r="E358" s="764" t="s">
        <v>342</v>
      </c>
      <c r="F358" s="164"/>
      <c r="G358" s="323"/>
      <c r="H358" s="164">
        <v>2201</v>
      </c>
      <c r="I358" s="619"/>
      <c r="J358" s="618"/>
      <c r="K358" s="138"/>
      <c r="L358" s="37"/>
    </row>
    <row r="359" spans="1:20" ht="21.75" customHeight="1">
      <c r="A359" s="57" t="s">
        <v>118</v>
      </c>
      <c r="B359" s="57" t="s">
        <v>50</v>
      </c>
      <c r="C359" s="294"/>
      <c r="D359" s="108">
        <v>46309</v>
      </c>
      <c r="E359" s="764" t="s">
        <v>342</v>
      </c>
      <c r="F359" s="164"/>
      <c r="G359" s="763"/>
      <c r="H359" s="166">
        <v>579</v>
      </c>
      <c r="I359" s="619"/>
      <c r="J359" s="618"/>
      <c r="K359" s="139"/>
      <c r="L359" s="37"/>
      <c r="M359" s="326"/>
    </row>
    <row r="360" spans="1:20" ht="21.75" customHeight="1">
      <c r="A360" s="57"/>
      <c r="B360" s="57" t="s">
        <v>50</v>
      </c>
      <c r="C360" s="294"/>
      <c r="D360" s="108"/>
      <c r="E360" s="764" t="s">
        <v>342</v>
      </c>
      <c r="F360" s="164"/>
      <c r="G360" s="763"/>
      <c r="H360" s="166"/>
      <c r="I360" s="619"/>
      <c r="J360" s="618"/>
      <c r="K360" s="139"/>
      <c r="L360" s="37"/>
      <c r="M360" s="326"/>
    </row>
    <row r="361" spans="1:20" ht="21.75" customHeight="1">
      <c r="A361" s="57" t="s">
        <v>115</v>
      </c>
      <c r="B361" s="57" t="s">
        <v>50</v>
      </c>
      <c r="C361" s="294"/>
      <c r="D361" s="341">
        <v>46277</v>
      </c>
      <c r="E361" s="731" t="s">
        <v>353</v>
      </c>
      <c r="F361" s="343">
        <v>15000</v>
      </c>
      <c r="G361" s="697">
        <f>Tracking_SI59[[#This Row],[Còn lại so với ĐH]]/Tracking_SI59[[#This Row],[Số  lượng trên ĐH]]</f>
        <v>1</v>
      </c>
      <c r="H361" s="378">
        <f>SUM(H362:H364)</f>
        <v>0</v>
      </c>
      <c r="I361" s="378">
        <f>Tracking_SI59[[#This Row],[Số  lượng trên ĐH]]-Tracking_SI59[[#This Row],[Số  lượng giao]]</f>
        <v>15000</v>
      </c>
      <c r="J361" s="601">
        <v>46000</v>
      </c>
      <c r="K361" s="346"/>
      <c r="L361" s="37"/>
      <c r="M361" s="326"/>
    </row>
    <row r="362" spans="1:20" ht="21.75" customHeight="1">
      <c r="A362" s="57"/>
      <c r="B362" s="57" t="s">
        <v>50</v>
      </c>
      <c r="C362" s="294"/>
      <c r="D362" s="795">
        <v>46277</v>
      </c>
      <c r="E362" s="796" t="s">
        <v>353</v>
      </c>
      <c r="F362" s="164"/>
      <c r="G362" s="763"/>
      <c r="H362" s="166"/>
      <c r="I362" s="619"/>
      <c r="J362" s="618"/>
      <c r="K362" s="139"/>
      <c r="L362" s="37"/>
      <c r="M362" s="326"/>
    </row>
    <row r="363" spans="1:20" ht="21.75" customHeight="1">
      <c r="A363" s="57"/>
      <c r="B363" s="57" t="s">
        <v>50</v>
      </c>
      <c r="C363" s="294"/>
      <c r="D363" s="795">
        <v>46277</v>
      </c>
      <c r="E363" s="796" t="s">
        <v>353</v>
      </c>
      <c r="F363" s="164"/>
      <c r="G363" s="763"/>
      <c r="H363" s="166"/>
      <c r="I363" s="619"/>
      <c r="J363" s="618"/>
      <c r="K363" s="139"/>
      <c r="L363" s="37"/>
      <c r="M363" s="326"/>
    </row>
    <row r="364" spans="1:20" ht="21.75" customHeight="1">
      <c r="A364" s="57"/>
      <c r="B364" s="57" t="s">
        <v>50</v>
      </c>
      <c r="C364" s="294"/>
      <c r="D364" s="795">
        <v>46277</v>
      </c>
      <c r="E364" s="796" t="s">
        <v>353</v>
      </c>
      <c r="F364" s="164"/>
      <c r="G364" s="763"/>
      <c r="H364" s="166"/>
      <c r="I364" s="619"/>
      <c r="J364" s="618"/>
      <c r="K364" s="139"/>
      <c r="L364" s="37"/>
      <c r="M364" s="326"/>
    </row>
    <row r="365" spans="1:20" ht="21.75" customHeight="1">
      <c r="A365" s="57"/>
      <c r="B365" s="57" t="s">
        <v>50</v>
      </c>
      <c r="C365" s="294"/>
      <c r="D365" s="795">
        <v>46277</v>
      </c>
      <c r="E365" s="796" t="s">
        <v>353</v>
      </c>
      <c r="F365" s="797"/>
      <c r="G365" s="763"/>
      <c r="H365" s="788"/>
      <c r="I365" s="771"/>
      <c r="J365" s="772"/>
      <c r="K365" s="139"/>
      <c r="L365" s="37"/>
      <c r="M365" s="326"/>
    </row>
    <row r="366" spans="1:20" ht="21.75" customHeight="1">
      <c r="A366" s="58"/>
      <c r="B366" s="73" t="s">
        <v>128</v>
      </c>
      <c r="C366" s="74" t="s">
        <v>127</v>
      </c>
      <c r="D366" s="117"/>
      <c r="E366" s="75"/>
      <c r="F366" s="75"/>
      <c r="G366" s="323" t="e">
        <f>Tracking_SI59[[#This Row],[Còn lại so với ĐH]]/Tracking_SI59[[#This Row],[Số  lượng trên ĐH]]</f>
        <v>#DIV/0!</v>
      </c>
      <c r="H366" s="553"/>
      <c r="I366" s="205"/>
      <c r="J366" s="78"/>
      <c r="K366" s="137"/>
      <c r="L366" s="77"/>
    </row>
    <row r="367" spans="1:20" ht="19.5" customHeight="1">
      <c r="A367" s="57"/>
      <c r="B367" s="421" t="s">
        <v>128</v>
      </c>
      <c r="C367" s="48"/>
      <c r="D367" s="341">
        <v>46083</v>
      </c>
      <c r="E367" s="342" t="s">
        <v>211</v>
      </c>
      <c r="F367" s="343">
        <v>15000</v>
      </c>
      <c r="G367" s="323">
        <f>Tracking_SI59[[#This Row],[Còn lại so với ĐH]]/Tracking_SI59[[#This Row],[Số  lượng trên ĐH]]</f>
        <v>1.6266666666666665E-2</v>
      </c>
      <c r="H367" s="378">
        <f>SUM(H368:H373)</f>
        <v>14756</v>
      </c>
      <c r="I367" s="378">
        <f>Tracking_SI59[[#This Row],[Số  lượng trên ĐH]]-Tracking_SI59[[#This Row],[Số  lượng giao]]</f>
        <v>244</v>
      </c>
      <c r="J367" s="603"/>
      <c r="K367" s="356" t="s">
        <v>116</v>
      </c>
      <c r="L367" s="42"/>
      <c r="T367" s="9"/>
    </row>
    <row r="368" spans="1:20" ht="19.5" customHeight="1">
      <c r="A368" s="57"/>
      <c r="B368" s="57" t="s">
        <v>128</v>
      </c>
      <c r="C368" s="48"/>
      <c r="D368" s="108" t="s">
        <v>262</v>
      </c>
      <c r="E368" s="27" t="s">
        <v>211</v>
      </c>
      <c r="F368" s="349"/>
      <c r="G368" s="323" t="e">
        <f>Tracking_SI59[[#This Row],[Còn lại so với ĐH]]/Tracking_SI59[[#This Row],[Số  lượng trên ĐH]]</f>
        <v>#DIV/0!</v>
      </c>
      <c r="H368" s="164">
        <v>5074</v>
      </c>
      <c r="I368" s="354"/>
      <c r="J368" s="626"/>
      <c r="K368" s="134" t="s">
        <v>118</v>
      </c>
      <c r="L368" s="42"/>
      <c r="T368" s="9"/>
    </row>
    <row r="369" spans="1:12" ht="19.5" customHeight="1">
      <c r="A369" s="57"/>
      <c r="B369" s="57" t="s">
        <v>128</v>
      </c>
      <c r="C369" s="48"/>
      <c r="D369" s="108">
        <v>46148</v>
      </c>
      <c r="E369" s="27" t="s">
        <v>211</v>
      </c>
      <c r="F369" s="628"/>
      <c r="G369" s="323" t="e">
        <f>Tracking_SI59[[#This Row],[Còn lại so với ĐH]]/Tracking_SI59[[#This Row],[Số  lượng trên ĐH]]</f>
        <v>#DIV/0!</v>
      </c>
      <c r="H369" s="164">
        <v>1441</v>
      </c>
      <c r="I369" s="619"/>
      <c r="J369" s="626"/>
      <c r="K369" s="134" t="s">
        <v>118</v>
      </c>
      <c r="L369" s="42"/>
    </row>
    <row r="370" spans="1:12" ht="19.5" customHeight="1">
      <c r="A370" s="57"/>
      <c r="B370" s="57" t="s">
        <v>128</v>
      </c>
      <c r="C370" s="48"/>
      <c r="D370" s="108">
        <v>46155</v>
      </c>
      <c r="E370" s="27" t="s">
        <v>211</v>
      </c>
      <c r="F370" s="628"/>
      <c r="G370" s="323" t="e">
        <f>Tracking_SI59[[#This Row],[Còn lại so với ĐH]]/Tracking_SI59[[#This Row],[Số  lượng trên ĐH]]</f>
        <v>#DIV/0!</v>
      </c>
      <c r="H370" s="164">
        <v>2883</v>
      </c>
      <c r="I370" s="619"/>
      <c r="J370" s="626"/>
      <c r="K370" s="134" t="s">
        <v>118</v>
      </c>
      <c r="L370" s="42"/>
    </row>
    <row r="371" spans="1:12" ht="19.5" customHeight="1">
      <c r="A371" s="57"/>
      <c r="B371" s="57" t="s">
        <v>128</v>
      </c>
      <c r="C371" s="48"/>
      <c r="D371" s="154">
        <v>46161</v>
      </c>
      <c r="E371" s="27" t="s">
        <v>211</v>
      </c>
      <c r="F371" s="621"/>
      <c r="G371" s="323" t="e">
        <f>Tracking_SI59[[#This Row],[Còn lại so với ĐH]]/Tracking_SI59[[#This Row],[Số  lượng trên ĐH]]</f>
        <v>#DIV/0!</v>
      </c>
      <c r="H371" s="587">
        <v>2917</v>
      </c>
      <c r="I371" s="616"/>
      <c r="J371" s="626"/>
      <c r="K371" s="134" t="s">
        <v>118</v>
      </c>
      <c r="L371" s="42"/>
    </row>
    <row r="372" spans="1:12" ht="19.5" customHeight="1">
      <c r="A372" s="57"/>
      <c r="B372" s="57" t="s">
        <v>128</v>
      </c>
      <c r="C372" s="48"/>
      <c r="D372" s="154">
        <v>46161</v>
      </c>
      <c r="E372" s="27" t="s">
        <v>211</v>
      </c>
      <c r="F372" s="201"/>
      <c r="G372" s="323" t="e">
        <f>Tracking_SI59[[#This Row],[Còn lại so với ĐH]]/Tracking_SI59[[#This Row],[Số  lượng trên ĐH]]</f>
        <v>#DIV/0!</v>
      </c>
      <c r="H372" s="164">
        <v>1953</v>
      </c>
      <c r="I372" s="336"/>
      <c r="J372" s="42"/>
      <c r="K372" s="134" t="s">
        <v>118</v>
      </c>
      <c r="L372" s="42"/>
    </row>
    <row r="373" spans="1:12" ht="19.5" customHeight="1">
      <c r="A373" s="57"/>
      <c r="B373" s="57" t="s">
        <v>128</v>
      </c>
      <c r="C373" s="48"/>
      <c r="D373" s="108">
        <v>46168</v>
      </c>
      <c r="E373" s="27" t="s">
        <v>211</v>
      </c>
      <c r="F373" s="201"/>
      <c r="G373" s="323" t="e">
        <f>Tracking_SI59[[#This Row],[Còn lại so với ĐH]]/Tracking_SI59[[#This Row],[Số  lượng trên ĐH]]</f>
        <v>#DIV/0!</v>
      </c>
      <c r="H373" s="608">
        <v>488</v>
      </c>
      <c r="I373" s="336"/>
      <c r="J373" s="42"/>
      <c r="K373" s="134" t="s">
        <v>118</v>
      </c>
      <c r="L373" s="42"/>
    </row>
    <row r="374" spans="1:12" ht="19.5" customHeight="1">
      <c r="A374" s="58"/>
      <c r="B374" s="73" t="s">
        <v>132</v>
      </c>
      <c r="C374" s="74" t="s">
        <v>131</v>
      </c>
      <c r="D374" s="117"/>
      <c r="E374" s="75"/>
      <c r="F374" s="75"/>
      <c r="G374" s="323" t="e">
        <f>Tracking_SI59[[#This Row],[Còn lại so với ĐH]]/Tracking_SI59[[#This Row],[Số  lượng trên ĐH]]</f>
        <v>#DIV/0!</v>
      </c>
      <c r="H374" s="75"/>
      <c r="I374" s="204"/>
      <c r="J374" s="78"/>
      <c r="K374" s="137"/>
      <c r="L374" s="77"/>
    </row>
    <row r="375" spans="1:12" ht="18.75" customHeight="1">
      <c r="A375" s="58"/>
      <c r="B375" s="81"/>
      <c r="C375" s="82" t="s">
        <v>62</v>
      </c>
      <c r="D375" s="118"/>
      <c r="E375" s="118"/>
      <c r="F375" s="118"/>
      <c r="G375" s="323" t="e">
        <f>Tracking_SI59[[#This Row],[Còn lại so với ĐH]]/Tracking_SI59[[#This Row],[Số  lượng trên ĐH]]</f>
        <v>#DIV/0!</v>
      </c>
      <c r="H375" s="118"/>
      <c r="I375" s="118"/>
      <c r="J375" s="118"/>
      <c r="K375" s="118"/>
      <c r="L375" s="85"/>
    </row>
    <row r="376" spans="1:12" ht="18.75" customHeight="1">
      <c r="A376" s="58"/>
      <c r="B376" s="81"/>
      <c r="C376" s="82" t="s">
        <v>64</v>
      </c>
      <c r="D376" s="118"/>
      <c r="E376" s="311"/>
      <c r="F376" s="86"/>
      <c r="G376" s="323" t="e">
        <f>Tracking_SI59[[#This Row],[Còn lại so với ĐH]]/Tracking_SI59[[#This Row],[Số  lượng trên ĐH]]</f>
        <v>#DIV/0!</v>
      </c>
      <c r="H376" s="86"/>
      <c r="I376" s="206"/>
      <c r="J376" s="85"/>
      <c r="K376" s="141"/>
      <c r="L376" s="85"/>
    </row>
    <row r="377" spans="1:12" ht="18.75" customHeight="1">
      <c r="A377" s="58"/>
      <c r="B377" s="81"/>
      <c r="C377" s="82" t="s">
        <v>68</v>
      </c>
      <c r="D377" s="118"/>
      <c r="E377" s="83"/>
      <c r="F377" s="84"/>
      <c r="G377" s="323" t="e">
        <f>Tracking_SI59[[#This Row],[Còn lại so với ĐH]]/Tracking_SI59[[#This Row],[Số  lượng trên ĐH]]</f>
        <v>#DIV/0!</v>
      </c>
      <c r="H377" s="84"/>
      <c r="I377" s="206"/>
      <c r="J377" s="87"/>
      <c r="K377" s="142"/>
      <c r="L377" s="85"/>
    </row>
    <row r="378" spans="1:12" ht="19.5" customHeight="1">
      <c r="A378" s="58"/>
      <c r="B378" s="81"/>
      <c r="C378" s="82" t="s">
        <v>69</v>
      </c>
      <c r="D378" s="118"/>
      <c r="E378" s="83"/>
      <c r="F378" s="84"/>
      <c r="G378" s="323" t="e">
        <f>Tracking_SI59[[#This Row],[Còn lại so với ĐH]]/Tracking_SI59[[#This Row],[Số  lượng trên ĐH]]</f>
        <v>#DIV/0!</v>
      </c>
      <c r="H378" s="84"/>
      <c r="I378" s="206"/>
      <c r="J378" s="85"/>
      <c r="K378" s="141"/>
      <c r="L378" s="85"/>
    </row>
    <row r="379" spans="1:12" ht="19.5" customHeight="1">
      <c r="A379" s="58"/>
      <c r="B379" s="81"/>
      <c r="C379" s="82" t="s">
        <v>71</v>
      </c>
      <c r="D379" s="118"/>
      <c r="E379" s="83"/>
      <c r="F379" s="84"/>
      <c r="G379" s="323" t="e">
        <f>Tracking_SI59[[#This Row],[Còn lại so với ĐH]]/Tracking_SI59[[#This Row],[Số  lượng trên ĐH]]</f>
        <v>#DIV/0!</v>
      </c>
      <c r="H379" s="84"/>
      <c r="I379" s="206"/>
      <c r="J379" s="85"/>
      <c r="K379" s="141"/>
      <c r="L379" s="85"/>
    </row>
    <row r="380" spans="1:12" s="116" customFormat="1" ht="19.5" customHeight="1">
      <c r="A380" s="58" t="s">
        <v>106</v>
      </c>
      <c r="B380" s="827" t="s">
        <v>284</v>
      </c>
      <c r="C380" s="690" t="s">
        <v>283</v>
      </c>
      <c r="D380" s="691"/>
      <c r="E380" s="805"/>
      <c r="F380" s="800"/>
      <c r="G380" s="693" t="e">
        <f>Tracking_SI59[[#This Row],[Còn lại so với ĐH]]/Tracking_SI59[[#This Row],[Số  lượng trên ĐH]]</f>
        <v>#DIV/0!</v>
      </c>
      <c r="H380" s="817"/>
      <c r="I380" s="802"/>
      <c r="J380" s="803"/>
      <c r="K380" s="802"/>
      <c r="L380" s="802"/>
    </row>
    <row r="381" spans="1:12" s="116" customFormat="1" ht="19.5" customHeight="1">
      <c r="A381" s="116" t="s">
        <v>115</v>
      </c>
      <c r="B381" s="116" t="s">
        <v>284</v>
      </c>
      <c r="D381" s="215">
        <v>46189</v>
      </c>
      <c r="E381" s="348" t="s">
        <v>286</v>
      </c>
      <c r="F381" s="774">
        <v>5000</v>
      </c>
      <c r="G381" s="326">
        <f>Tracking_SI59[[#This Row],[Còn lại so với ĐH]]/Tracking_SI59[[#This Row],[Số  lượng trên ĐH]]</f>
        <v>1</v>
      </c>
      <c r="H381" s="774"/>
      <c r="I381" s="611">
        <f>Tracking_SI59[[#This Row],[Số  lượng trên ĐH]]-Tracking_SI59[[#This Row],[Số  lượng giao]]</f>
        <v>5000</v>
      </c>
      <c r="J381" s="346">
        <v>38800</v>
      </c>
      <c r="K381" s="461"/>
    </row>
    <row r="382" spans="1:12" s="116" customFormat="1" ht="19.5" customHeight="1">
      <c r="B382" s="116" t="s">
        <v>284</v>
      </c>
      <c r="E382" s="116" t="s">
        <v>286</v>
      </c>
      <c r="F382" s="663"/>
      <c r="G382" s="326" t="e">
        <f>Tracking_SI59[[#This Row],[Còn lại so với ĐH]]/Tracking_SI59[[#This Row],[Số  lượng trên ĐH]]</f>
        <v>#DIV/0!</v>
      </c>
      <c r="H382" s="663"/>
      <c r="I382" s="663"/>
      <c r="J382" s="663"/>
      <c r="K382" s="664"/>
    </row>
    <row r="383" spans="1:12" s="116" customFormat="1" ht="19.5" customHeight="1">
      <c r="B383" s="116" t="s">
        <v>284</v>
      </c>
      <c r="E383" s="116" t="s">
        <v>286</v>
      </c>
      <c r="F383" s="663"/>
      <c r="G383" s="326" t="e">
        <f>Tracking_SI59[[#This Row],[Còn lại so với ĐH]]/Tracking_SI59[[#This Row],[Số  lượng trên ĐH]]</f>
        <v>#DIV/0!</v>
      </c>
      <c r="H383" s="663"/>
      <c r="I383" s="663"/>
      <c r="J383" s="663"/>
      <c r="K383" s="664"/>
    </row>
    <row r="384" spans="1:12" s="116" customFormat="1" ht="19.5" customHeight="1">
      <c r="B384" s="116" t="s">
        <v>284</v>
      </c>
      <c r="E384" s="116" t="s">
        <v>286</v>
      </c>
      <c r="F384" s="663"/>
      <c r="G384" s="326" t="e">
        <f>Tracking_SI59[[#This Row],[Còn lại so với ĐH]]/Tracking_SI59[[#This Row],[Số  lượng trên ĐH]]</f>
        <v>#DIV/0!</v>
      </c>
      <c r="H384" s="663"/>
      <c r="I384" s="663"/>
      <c r="J384" s="663"/>
      <c r="K384" s="664"/>
    </row>
    <row r="385" spans="1:12" s="116" customFormat="1" ht="19.5" customHeight="1">
      <c r="B385" s="116" t="s">
        <v>284</v>
      </c>
      <c r="E385" s="116" t="s">
        <v>286</v>
      </c>
      <c r="F385" s="663"/>
      <c r="G385" s="326" t="e">
        <f>Tracking_SI59[[#This Row],[Còn lại so với ĐH]]/Tracking_SI59[[#This Row],[Số  lượng trên ĐH]]</f>
        <v>#DIV/0!</v>
      </c>
      <c r="H385" s="663"/>
      <c r="I385" s="663"/>
      <c r="J385" s="663"/>
      <c r="K385" s="664"/>
    </row>
    <row r="386" spans="1:12" s="116" customFormat="1" ht="19.5" customHeight="1">
      <c r="B386" s="116" t="s">
        <v>284</v>
      </c>
      <c r="E386" s="116" t="s">
        <v>286</v>
      </c>
      <c r="F386" s="663"/>
      <c r="G386" s="326" t="e">
        <f>Tracking_SI59[[#This Row],[Còn lại so với ĐH]]/Tracking_SI59[[#This Row],[Số  lượng trên ĐH]]</f>
        <v>#DIV/0!</v>
      </c>
      <c r="H386" s="663"/>
      <c r="I386" s="663"/>
      <c r="J386" s="663"/>
      <c r="K386" s="664"/>
    </row>
    <row r="387" spans="1:12" s="116" customFormat="1" ht="19.5" customHeight="1">
      <c r="B387" s="116" t="s">
        <v>284</v>
      </c>
      <c r="E387" s="116" t="s">
        <v>286</v>
      </c>
      <c r="F387" s="665"/>
      <c r="G387" s="326" t="e">
        <f>Tracking_SI59[[#This Row],[Còn lại so với ĐH]]/Tracking_SI59[[#This Row],[Số  lượng trên ĐH]]</f>
        <v>#DIV/0!</v>
      </c>
      <c r="H387" s="665"/>
      <c r="I387" s="665"/>
      <c r="J387" s="665"/>
      <c r="K387" s="664"/>
    </row>
    <row r="388" spans="1:12" s="116" customFormat="1" ht="19.5" customHeight="1">
      <c r="B388" s="81" t="s">
        <v>285</v>
      </c>
      <c r="C388" s="82" t="s">
        <v>288</v>
      </c>
      <c r="D388" s="118"/>
      <c r="E388" s="741"/>
      <c r="F388" s="206"/>
      <c r="G388" s="667"/>
      <c r="H388" s="666"/>
      <c r="I388" s="667"/>
      <c r="J388" s="666"/>
      <c r="K388" s="666"/>
      <c r="L388" s="85"/>
    </row>
    <row r="389" spans="1:12" s="116" customFormat="1" ht="19.5" customHeight="1">
      <c r="B389" s="116" t="s">
        <v>285</v>
      </c>
      <c r="D389" s="341">
        <v>46189</v>
      </c>
      <c r="E389" s="731" t="s">
        <v>286</v>
      </c>
      <c r="F389" s="662">
        <v>8000</v>
      </c>
      <c r="G389" s="697">
        <f>Tracking_SI59[[#This Row],[Còn lại so với ĐH]]/Tracking_SI59[[#This Row],[Số  lượng trên ĐH]]</f>
        <v>-7.079999999999996E-2</v>
      </c>
      <c r="H389" s="662">
        <f>SUM(H390:H394)</f>
        <v>8566.4</v>
      </c>
      <c r="I389" s="602">
        <f>Tracking_SI59[[#This Row],[Số  lượng trên ĐH]]-Tracking_SI59[[#This Row],[Số  lượng giao]]</f>
        <v>-566.39999999999964</v>
      </c>
      <c r="J389" s="356">
        <v>38800</v>
      </c>
      <c r="K389" s="498"/>
    </row>
    <row r="390" spans="1:12" s="116" customFormat="1" ht="19.5" customHeight="1">
      <c r="B390" s="116" t="s">
        <v>285</v>
      </c>
      <c r="D390" s="116">
        <v>46221</v>
      </c>
      <c r="E390" s="472" t="s">
        <v>286</v>
      </c>
      <c r="F390" s="663"/>
      <c r="G390" s="326"/>
      <c r="H390" s="669">
        <v>199.4</v>
      </c>
      <c r="I390" s="663"/>
      <c r="J390" s="663"/>
      <c r="K390" s="664"/>
    </row>
    <row r="391" spans="1:12" s="116" customFormat="1" ht="19.5" customHeight="1">
      <c r="B391" s="116" t="s">
        <v>285</v>
      </c>
      <c r="D391" s="116">
        <v>46225</v>
      </c>
      <c r="E391" s="472" t="s">
        <v>286</v>
      </c>
      <c r="F391" s="663"/>
      <c r="G391" s="326"/>
      <c r="H391" s="489">
        <v>778</v>
      </c>
      <c r="I391" s="663"/>
      <c r="J391" s="663"/>
      <c r="K391" s="664"/>
    </row>
    <row r="392" spans="1:12" s="116" customFormat="1" ht="19.5" customHeight="1">
      <c r="B392" s="116" t="s">
        <v>285</v>
      </c>
      <c r="D392" s="116">
        <v>46230</v>
      </c>
      <c r="E392" s="472" t="s">
        <v>286</v>
      </c>
      <c r="F392" s="663"/>
      <c r="G392" s="326"/>
      <c r="H392" s="489">
        <v>1550</v>
      </c>
      <c r="I392" s="663"/>
      <c r="J392" s="663"/>
      <c r="K392" s="664"/>
    </row>
    <row r="393" spans="1:12" s="116" customFormat="1" ht="19.5" customHeight="1">
      <c r="B393" s="116" t="s">
        <v>285</v>
      </c>
      <c r="D393" s="116">
        <v>46280</v>
      </c>
      <c r="E393" s="742" t="s">
        <v>286</v>
      </c>
      <c r="F393" s="663"/>
      <c r="G393" s="326"/>
      <c r="H393" s="729">
        <v>1514</v>
      </c>
      <c r="I393" s="663"/>
      <c r="J393" s="663"/>
      <c r="K393" s="664"/>
    </row>
    <row r="394" spans="1:12" s="116" customFormat="1" ht="19.5" customHeight="1">
      <c r="B394" s="116" t="s">
        <v>285</v>
      </c>
      <c r="D394" s="116">
        <v>46291</v>
      </c>
      <c r="E394" s="472" t="s">
        <v>286</v>
      </c>
      <c r="F394" s="663"/>
      <c r="G394" s="326"/>
      <c r="H394" s="489">
        <v>4525</v>
      </c>
      <c r="I394" s="663"/>
      <c r="J394" s="663"/>
      <c r="K394" s="664"/>
    </row>
    <row r="395" spans="1:12" ht="19.2" customHeight="1">
      <c r="A395" s="58"/>
      <c r="B395" s="81" t="s">
        <v>135</v>
      </c>
      <c r="C395" s="82" t="s">
        <v>136</v>
      </c>
      <c r="D395" s="118"/>
      <c r="E395" s="83"/>
      <c r="F395" s="84"/>
      <c r="G395" s="84"/>
      <c r="H395" s="84"/>
      <c r="I395" s="206"/>
      <c r="J395" s="87"/>
      <c r="K395" s="142"/>
      <c r="L395" s="85"/>
    </row>
    <row r="396" spans="1:12" ht="18" customHeight="1">
      <c r="A396" s="57"/>
      <c r="B396" s="421" t="s">
        <v>135</v>
      </c>
      <c r="C396" s="48"/>
      <c r="D396" s="113">
        <v>46064</v>
      </c>
      <c r="E396" s="28" t="s">
        <v>202</v>
      </c>
      <c r="F396" s="223">
        <v>12000</v>
      </c>
      <c r="G396" s="539">
        <f>Tracking_SI59[[#This Row],[Còn lại so với ĐH]]/Tracking_SI59[[#This Row],[Số  lượng trên ĐH]]</f>
        <v>5.2416666666666667E-2</v>
      </c>
      <c r="H396" s="165">
        <f>SUM(H397)</f>
        <v>11371</v>
      </c>
      <c r="I396" s="759">
        <f>Tracking_SI59[[#This Row],[Số  lượng trên ĐH]]-Tracking_SI59[[#This Row],[Số  lượng giao]]</f>
        <v>629</v>
      </c>
      <c r="J396" s="165"/>
      <c r="K396" s="127" t="s">
        <v>282</v>
      </c>
      <c r="L396" s="32"/>
    </row>
    <row r="397" spans="1:12" ht="18" customHeight="1">
      <c r="A397" s="57"/>
      <c r="B397" s="57" t="s">
        <v>135</v>
      </c>
      <c r="C397" s="48"/>
      <c r="D397" s="116" t="s">
        <v>262</v>
      </c>
      <c r="E397" s="30"/>
      <c r="F397" s="174"/>
      <c r="G397" s="323"/>
      <c r="H397" s="164">
        <v>11371</v>
      </c>
      <c r="I397" s="606"/>
      <c r="J397" s="344"/>
      <c r="K397" s="133" t="s">
        <v>118</v>
      </c>
      <c r="L397" s="32"/>
    </row>
    <row r="398" spans="1:12" ht="18" customHeight="1">
      <c r="A398" s="57"/>
      <c r="B398" s="57" t="s">
        <v>135</v>
      </c>
      <c r="C398" s="48"/>
      <c r="D398" s="341">
        <v>46189</v>
      </c>
      <c r="E398" s="342" t="s">
        <v>286</v>
      </c>
      <c r="F398" s="343">
        <v>15000</v>
      </c>
      <c r="G398" s="697">
        <f>Tracking_SI59[[#This Row],[Còn lại so với ĐH]]/Tracking_SI59[[#This Row],[Số  lượng trên ĐH]]</f>
        <v>-0.13086666666666666</v>
      </c>
      <c r="H398" s="343">
        <f>SUM(H399:H403)</f>
        <v>16963</v>
      </c>
      <c r="I398" s="602">
        <f>Tracking_SI59[[#This Row],[Số  lượng trên ĐH]]-Tracking_SI59[[#This Row],[Số  lượng giao]]</f>
        <v>-1963</v>
      </c>
      <c r="J398" s="356">
        <v>38800</v>
      </c>
      <c r="K398" s="133"/>
      <c r="L398" s="32"/>
    </row>
    <row r="399" spans="1:12" ht="18" customHeight="1">
      <c r="A399" s="57"/>
      <c r="B399" s="57" t="s">
        <v>135</v>
      </c>
      <c r="C399" s="48"/>
      <c r="D399" s="116">
        <v>46251</v>
      </c>
      <c r="E399" s="735" t="s">
        <v>286</v>
      </c>
      <c r="F399" s="174"/>
      <c r="G399" s="323"/>
      <c r="H399" s="164">
        <v>5290</v>
      </c>
      <c r="I399" s="606"/>
      <c r="J399" s="344"/>
      <c r="K399" s="133"/>
      <c r="L399" s="32"/>
    </row>
    <row r="400" spans="1:12">
      <c r="A400" s="57"/>
      <c r="B400" s="57" t="s">
        <v>135</v>
      </c>
      <c r="C400" s="48"/>
      <c r="D400" s="116">
        <v>46283</v>
      </c>
      <c r="E400" s="735" t="s">
        <v>286</v>
      </c>
      <c r="F400" s="174"/>
      <c r="G400" s="323"/>
      <c r="H400" s="164">
        <v>5078</v>
      </c>
      <c r="I400" s="606"/>
      <c r="J400" s="344"/>
      <c r="K400" s="133"/>
      <c r="L400" s="32"/>
    </row>
    <row r="401" spans="1:23" ht="18" customHeight="1">
      <c r="A401" s="57"/>
      <c r="B401" s="57" t="s">
        <v>135</v>
      </c>
      <c r="C401" s="48"/>
      <c r="D401" s="116">
        <v>46294</v>
      </c>
      <c r="E401" s="735" t="s">
        <v>286</v>
      </c>
      <c r="F401" s="174"/>
      <c r="G401" s="323"/>
      <c r="H401" s="164">
        <v>2194</v>
      </c>
      <c r="I401" s="606"/>
      <c r="J401" s="344"/>
      <c r="K401" s="133"/>
      <c r="L401" s="32"/>
    </row>
    <row r="402" spans="1:23" s="2" customFormat="1" ht="18" customHeight="1">
      <c r="A402" s="57"/>
      <c r="B402" s="57" t="s">
        <v>135</v>
      </c>
      <c r="C402" s="48"/>
      <c r="D402" s="116">
        <v>46297</v>
      </c>
      <c r="E402" s="735" t="s">
        <v>286</v>
      </c>
      <c r="F402" s="174"/>
      <c r="G402" s="323"/>
      <c r="H402" s="174">
        <v>2567</v>
      </c>
      <c r="I402" s="606"/>
      <c r="J402" s="344"/>
      <c r="K402" s="133"/>
      <c r="L402" s="32"/>
      <c r="R402" s="17"/>
      <c r="S402" s="17"/>
      <c r="T402" s="17"/>
      <c r="U402" s="17"/>
      <c r="V402" s="17"/>
      <c r="W402" s="17"/>
    </row>
    <row r="403" spans="1:23" s="2" customFormat="1" ht="18" customHeight="1">
      <c r="A403" s="57" t="s">
        <v>118</v>
      </c>
      <c r="B403" s="57" t="s">
        <v>135</v>
      </c>
      <c r="C403" s="312"/>
      <c r="D403" s="116">
        <v>46309</v>
      </c>
      <c r="E403" s="735" t="s">
        <v>286</v>
      </c>
      <c r="F403" s="44"/>
      <c r="G403" s="763"/>
      <c r="H403" s="31">
        <v>1834</v>
      </c>
      <c r="I403" s="187"/>
      <c r="J403" s="32"/>
      <c r="K403" s="133"/>
      <c r="L403" s="32"/>
      <c r="M403" s="326"/>
      <c r="R403" s="17"/>
      <c r="S403" s="17"/>
      <c r="T403" s="17"/>
      <c r="U403" s="17"/>
      <c r="V403" s="17"/>
      <c r="W403" s="17"/>
    </row>
    <row r="404" spans="1:23" s="2" customFormat="1" ht="18" customHeight="1">
      <c r="A404" s="57"/>
      <c r="B404" s="57" t="s">
        <v>135</v>
      </c>
      <c r="C404" s="261"/>
      <c r="D404" s="341">
        <v>46316</v>
      </c>
      <c r="E404" s="342" t="s">
        <v>362</v>
      </c>
      <c r="F404" s="343">
        <v>20000</v>
      </c>
      <c r="G404" s="697" t="e">
        <f>Tracking_SI59[[#This Row],[Còn lại so với ĐH]]/Tracking_SI59[[#This Row],[Số  lượng trên ĐH]]</f>
        <v>#REF!</v>
      </c>
      <c r="H404" s="343" t="e">
        <f>SUM(#REF!)</f>
        <v>#REF!</v>
      </c>
      <c r="I404" s="602" t="e">
        <f>Tracking_SI59[[#This Row],[Số  lượng trên ĐH]]-Tracking_SI59[[#This Row],[Số  lượng giao]]</f>
        <v>#REF!</v>
      </c>
      <c r="J404" s="356"/>
      <c r="K404" s="133"/>
      <c r="L404" s="32"/>
      <c r="M404" s="326"/>
      <c r="R404" s="17"/>
      <c r="S404" s="17"/>
      <c r="T404" s="17"/>
      <c r="U404" s="17"/>
      <c r="V404" s="17"/>
      <c r="W404" s="17"/>
    </row>
    <row r="405" spans="1:23" s="2" customFormat="1" ht="18" customHeight="1">
      <c r="A405" s="58"/>
      <c r="B405" s="81" t="s">
        <v>166</v>
      </c>
      <c r="C405" s="82" t="s">
        <v>168</v>
      </c>
      <c r="D405" s="118"/>
      <c r="E405" s="83"/>
      <c r="F405" s="84"/>
      <c r="G405" s="323" t="e">
        <f>Tracking_SI59[[#This Row],[Còn lại so với ĐH]]/Tracking_SI59[[#This Row],[Số  lượng trên ĐH]]</f>
        <v>#DIV/0!</v>
      </c>
      <c r="H405" s="84"/>
      <c r="I405" s="206"/>
      <c r="J405" s="85"/>
      <c r="K405" s="141"/>
      <c r="L405" s="85"/>
      <c r="R405" s="17"/>
      <c r="S405" s="17"/>
      <c r="T405" s="17"/>
      <c r="U405" s="17"/>
      <c r="V405" s="17"/>
      <c r="W405" s="17"/>
    </row>
    <row r="406" spans="1:23" ht="18" customHeight="1">
      <c r="A406" s="58"/>
      <c r="B406" s="81" t="s">
        <v>170</v>
      </c>
      <c r="C406" s="82" t="s">
        <v>174</v>
      </c>
      <c r="D406" s="118"/>
      <c r="E406" s="83"/>
      <c r="F406" s="84"/>
      <c r="G406" s="323" t="e">
        <f>Tracking_SI59[[#This Row],[Còn lại so với ĐH]]/Tracking_SI59[[#This Row],[Số  lượng trên ĐH]]</f>
        <v>#DIV/0!</v>
      </c>
      <c r="H406" s="84"/>
      <c r="I406" s="206"/>
      <c r="J406" s="85"/>
      <c r="K406" s="141"/>
      <c r="L406" s="85"/>
    </row>
    <row r="407" spans="1:23" ht="20.25" customHeight="1">
      <c r="A407" s="57"/>
      <c r="B407" s="57" t="s">
        <v>170</v>
      </c>
      <c r="C407" s="312"/>
      <c r="D407" s="341">
        <v>46077</v>
      </c>
      <c r="E407" s="342" t="s">
        <v>209</v>
      </c>
      <c r="F407" s="343">
        <v>20000</v>
      </c>
      <c r="G407" s="323">
        <f>Tracking_SI59[[#This Row],[Còn lại so với ĐH]]/Tracking_SI59[[#This Row],[Số  lượng trên ĐH]]</f>
        <v>-5.9299999999999999E-2</v>
      </c>
      <c r="H407" s="378">
        <f>SUM(H408:H412)</f>
        <v>21186</v>
      </c>
      <c r="I407" s="378">
        <f>Tracking_SI59[[#This Row],[Số  lượng trên ĐH]]-Tracking_SI59[[#This Row],[Số  lượng giao]]</f>
        <v>-1186</v>
      </c>
      <c r="J407" s="599"/>
      <c r="K407" s="356" t="s">
        <v>116</v>
      </c>
      <c r="L407" s="32" t="s">
        <v>275</v>
      </c>
    </row>
    <row r="408" spans="1:23" ht="20.25" customHeight="1">
      <c r="A408" s="57"/>
      <c r="B408" s="57" t="s">
        <v>170</v>
      </c>
      <c r="C408" s="312"/>
      <c r="D408" s="116" t="s">
        <v>262</v>
      </c>
      <c r="E408" s="30" t="s">
        <v>209</v>
      </c>
      <c r="F408" s="166"/>
      <c r="G408" s="323" t="e">
        <f>Tracking_SI59[[#This Row],[Còn lại so với ĐH]]/Tracking_SI59[[#This Row],[Số  lượng trên ĐH]]</f>
        <v>#DIV/0!</v>
      </c>
      <c r="H408" s="166">
        <v>14157</v>
      </c>
      <c r="I408" s="606"/>
      <c r="J408" s="344"/>
      <c r="K408" s="133" t="s">
        <v>118</v>
      </c>
      <c r="L408" s="32"/>
    </row>
    <row r="409" spans="1:23" ht="18" customHeight="1">
      <c r="A409" s="57"/>
      <c r="B409" s="57" t="s">
        <v>170</v>
      </c>
      <c r="C409" s="261"/>
      <c r="D409" s="116">
        <v>46148</v>
      </c>
      <c r="E409" s="30" t="s">
        <v>209</v>
      </c>
      <c r="F409" s="166"/>
      <c r="G409" s="326" t="e">
        <f>Tracking_SI59[[#This Row],[Còn lại so với ĐH]]/Tracking_SI59[[#This Row],[Số  lượng trên ĐH]]</f>
        <v>#DIV/0!</v>
      </c>
      <c r="H409" s="164">
        <v>1075</v>
      </c>
      <c r="I409" s="606"/>
      <c r="J409" s="344"/>
      <c r="K409" s="133" t="s">
        <v>118</v>
      </c>
      <c r="L409" s="32"/>
    </row>
    <row r="410" spans="1:23" ht="18" customHeight="1">
      <c r="A410" s="57"/>
      <c r="B410" s="57" t="s">
        <v>170</v>
      </c>
      <c r="C410" s="261"/>
      <c r="D410" s="108">
        <v>46157</v>
      </c>
      <c r="E410" s="30" t="s">
        <v>209</v>
      </c>
      <c r="F410" s="166"/>
      <c r="G410" s="326" t="e">
        <f>Tracking_SI59[[#This Row],[Còn lại so với ĐH]]/Tracking_SI59[[#This Row],[Số  lượng trên ĐH]]</f>
        <v>#DIV/0!</v>
      </c>
      <c r="H410" s="166">
        <v>1357</v>
      </c>
      <c r="I410" s="606"/>
      <c r="J410" s="344"/>
      <c r="K410" s="133" t="s">
        <v>118</v>
      </c>
      <c r="L410" s="32"/>
    </row>
    <row r="411" spans="1:23" ht="18" customHeight="1">
      <c r="A411" s="57"/>
      <c r="B411" s="57" t="s">
        <v>170</v>
      </c>
      <c r="C411" s="261"/>
      <c r="D411" s="108">
        <v>46175</v>
      </c>
      <c r="E411" s="30" t="s">
        <v>209</v>
      </c>
      <c r="F411" s="166"/>
      <c r="G411" s="326" t="e">
        <f>Tracking_SI59[[#This Row],[Còn lại so với ĐH]]/Tracking_SI59[[#This Row],[Số  lượng trên ĐH]]</f>
        <v>#DIV/0!</v>
      </c>
      <c r="H411" s="166">
        <v>1895</v>
      </c>
      <c r="I411" s="606"/>
      <c r="J411" s="344"/>
      <c r="K411" s="133" t="s">
        <v>118</v>
      </c>
      <c r="L411" s="32"/>
    </row>
    <row r="412" spans="1:23" ht="18" customHeight="1">
      <c r="A412" s="57"/>
      <c r="B412" s="57" t="s">
        <v>170</v>
      </c>
      <c r="C412" s="261"/>
      <c r="D412" s="111">
        <v>46184</v>
      </c>
      <c r="E412" s="30" t="s">
        <v>209</v>
      </c>
      <c r="F412" s="166"/>
      <c r="G412" s="326" t="e">
        <f>Tracking_SI59[[#This Row],[Còn lại so với ĐH]]/Tracking_SI59[[#This Row],[Số  lượng trên ĐH]]</f>
        <v>#DIV/0!</v>
      </c>
      <c r="H412" s="166">
        <v>2702</v>
      </c>
      <c r="I412" s="606"/>
      <c r="J412" s="344"/>
      <c r="K412" s="133" t="s">
        <v>118</v>
      </c>
      <c r="L412" s="32"/>
    </row>
    <row r="413" spans="1:23" ht="20.25" customHeight="1">
      <c r="A413" s="57"/>
      <c r="B413" s="57" t="s">
        <v>170</v>
      </c>
      <c r="C413" s="312"/>
      <c r="D413" s="341">
        <v>46230</v>
      </c>
      <c r="E413" s="342" t="s">
        <v>292</v>
      </c>
      <c r="F413" s="343">
        <v>3000</v>
      </c>
      <c r="G413" s="323">
        <f>Tracking_SI59[[#This Row],[Còn lại so với ĐH]]/Tracking_SI59[[#This Row],[Số  lượng trên ĐH]]</f>
        <v>-9.1333333333333336E-2</v>
      </c>
      <c r="H413" s="378">
        <f>SUM(H414:H415)</f>
        <v>3274</v>
      </c>
      <c r="I413" s="378">
        <f>Tracking_SI59[[#This Row],[Số  lượng trên ĐH]]-Tracking_SI59[[#This Row],[Số  lượng giao]]</f>
        <v>-274</v>
      </c>
      <c r="J413" s="599"/>
      <c r="K413" s="356"/>
      <c r="L413" s="32"/>
    </row>
    <row r="414" spans="1:23" ht="18" customHeight="1">
      <c r="A414" s="57"/>
      <c r="B414" s="57" t="s">
        <v>170</v>
      </c>
      <c r="C414" s="261"/>
      <c r="D414" s="116">
        <v>46230</v>
      </c>
      <c r="E414" s="30" t="s">
        <v>292</v>
      </c>
      <c r="F414" s="166"/>
      <c r="G414" s="326" t="e">
        <f>Tracking_SI59[[#This Row],[Còn lại so với ĐH]]/Tracking_SI59[[#This Row],[Số  lượng trên ĐH]]</f>
        <v>#DIV/0!</v>
      </c>
      <c r="H414" s="166">
        <v>2729</v>
      </c>
      <c r="I414" s="606"/>
      <c r="J414" s="344"/>
      <c r="K414" s="133"/>
      <c r="L414" s="32"/>
    </row>
    <row r="415" spans="1:23" ht="18" customHeight="1">
      <c r="A415" s="57"/>
      <c r="B415" s="57" t="s">
        <v>170</v>
      </c>
      <c r="C415" s="261"/>
      <c r="D415" s="116">
        <v>46251</v>
      </c>
      <c r="E415" s="30" t="s">
        <v>292</v>
      </c>
      <c r="F415" s="166"/>
      <c r="G415" s="326" t="e">
        <f>Tracking_SI59[[#This Row],[Còn lại so với ĐH]]/Tracking_SI59[[#This Row],[Số  lượng trên ĐH]]</f>
        <v>#DIV/0!</v>
      </c>
      <c r="H415" s="166">
        <v>545</v>
      </c>
      <c r="I415" s="606"/>
      <c r="J415" s="344"/>
      <c r="K415" s="133"/>
      <c r="L415" s="32"/>
    </row>
    <row r="416" spans="1:23" ht="18" customHeight="1">
      <c r="A416" s="58"/>
      <c r="B416" s="81"/>
      <c r="C416" s="82" t="s">
        <v>74</v>
      </c>
      <c r="D416" s="118"/>
      <c r="E416" s="83"/>
      <c r="F416" s="84"/>
      <c r="G416" s="323" t="e">
        <f>Tracking_SI59[[#This Row],[Còn lại so với ĐH]]/Tracking_SI59[[#This Row],[Số  lượng trên ĐH]]</f>
        <v>#DIV/0!</v>
      </c>
      <c r="H416" s="84"/>
      <c r="I416" s="206"/>
      <c r="J416" s="87"/>
      <c r="K416" s="142"/>
      <c r="L416" s="85"/>
    </row>
    <row r="417" spans="1:12" ht="18" customHeight="1">
      <c r="A417" s="58"/>
      <c r="B417" s="81"/>
      <c r="C417" s="82" t="s">
        <v>76</v>
      </c>
      <c r="D417" s="118"/>
      <c r="E417" s="83"/>
      <c r="F417" s="84"/>
      <c r="G417" s="323" t="e">
        <f>Tracking_SI59[[#This Row],[Còn lại so với ĐH]]/Tracking_SI59[[#This Row],[Số  lượng trên ĐH]]</f>
        <v>#DIV/0!</v>
      </c>
      <c r="H417" s="84"/>
      <c r="I417" s="207"/>
      <c r="J417" s="87"/>
      <c r="K417" s="142"/>
      <c r="L417" s="85"/>
    </row>
    <row r="418" spans="1:12" ht="20.25" customHeight="1">
      <c r="A418" s="58"/>
      <c r="B418" s="81"/>
      <c r="C418" s="88" t="s">
        <v>77</v>
      </c>
      <c r="D418" s="118"/>
      <c r="E418" s="83"/>
      <c r="F418" s="83"/>
      <c r="G418" s="326" t="e">
        <f>Tracking_SI59[[#This Row],[Còn lại so với ĐH]]/Tracking_SI59[[#This Row],[Số  lượng trên ĐH]]</f>
        <v>#DIV/0!</v>
      </c>
      <c r="H418" s="83"/>
      <c r="I418" s="206"/>
      <c r="J418" s="87"/>
      <c r="K418" s="142"/>
      <c r="L418" s="85"/>
    </row>
    <row r="419" spans="1:12" ht="20.25" customHeight="1">
      <c r="A419" s="58"/>
      <c r="B419" s="81" t="s">
        <v>79</v>
      </c>
      <c r="C419" s="88" t="s">
        <v>112</v>
      </c>
      <c r="D419" s="118"/>
      <c r="E419" s="83"/>
      <c r="F419" s="83"/>
      <c r="G419" s="323" t="e">
        <f>Tracking_SI59[[#This Row],[Còn lại so với ĐH]]/Tracking_SI59[[#This Row],[Số  lượng trên ĐH]]</f>
        <v>#DIV/0!</v>
      </c>
      <c r="H419" s="84"/>
      <c r="I419" s="206"/>
      <c r="J419" s="85"/>
      <c r="K419" s="141"/>
      <c r="L419" s="85"/>
    </row>
    <row r="420" spans="1:12" ht="20.25" customHeight="1">
      <c r="A420" s="58"/>
      <c r="B420" s="81"/>
      <c r="C420" s="88" t="s">
        <v>81</v>
      </c>
      <c r="D420" s="119"/>
      <c r="E420" s="83"/>
      <c r="F420" s="84"/>
      <c r="G420" s="323" t="e">
        <f>Tracking_SI59[[#This Row],[Còn lại so với ĐH]]/Tracking_SI59[[#This Row],[Số  lượng trên ĐH]]</f>
        <v>#DIV/0!</v>
      </c>
      <c r="H420" s="84"/>
      <c r="I420" s="206"/>
      <c r="J420" s="85"/>
      <c r="K420" s="141"/>
      <c r="L420" s="85"/>
    </row>
    <row r="421" spans="1:12" ht="18.75" customHeight="1">
      <c r="A421" s="58"/>
      <c r="B421" s="81"/>
      <c r="C421" s="88" t="s">
        <v>82</v>
      </c>
      <c r="D421" s="119"/>
      <c r="E421" s="83"/>
      <c r="F421" s="84"/>
      <c r="G421" s="323" t="e">
        <f>Tracking_SI59[[#This Row],[Còn lại so với ĐH]]/Tracking_SI59[[#This Row],[Số  lượng trên ĐH]]</f>
        <v>#DIV/0!</v>
      </c>
      <c r="H421" s="84"/>
      <c r="I421" s="208"/>
      <c r="J421" s="85"/>
      <c r="K421" s="141"/>
      <c r="L421" s="85"/>
    </row>
    <row r="422" spans="1:12" ht="20.25" customHeight="1">
      <c r="A422" s="58"/>
      <c r="B422" s="81" t="s">
        <v>195</v>
      </c>
      <c r="C422" s="88" t="s">
        <v>194</v>
      </c>
      <c r="D422" s="119"/>
      <c r="E422" s="83"/>
      <c r="F422" s="84"/>
      <c r="G422" s="323" t="e">
        <f>Tracking_SI59[[#This Row],[Còn lại so với ĐH]]/Tracking_SI59[[#This Row],[Số  lượng trên ĐH]]</f>
        <v>#DIV/0!</v>
      </c>
      <c r="H422" s="84"/>
      <c r="I422" s="207"/>
      <c r="J422" s="85"/>
      <c r="K422" s="141"/>
      <c r="L422" s="85"/>
    </row>
    <row r="423" spans="1:12" ht="20.25" customHeight="1">
      <c r="A423" s="58"/>
      <c r="B423" s="81" t="s">
        <v>172</v>
      </c>
      <c r="C423" s="88" t="s">
        <v>175</v>
      </c>
      <c r="D423" s="119"/>
      <c r="E423" s="83"/>
      <c r="F423" s="84"/>
      <c r="G423" s="323" t="e">
        <f>Tracking_SI59[[#This Row],[Còn lại so với ĐH]]/Tracking_SI59[[#This Row],[Số  lượng trên ĐH]]</f>
        <v>#DIV/0!</v>
      </c>
      <c r="H423" s="84"/>
      <c r="I423" s="206"/>
      <c r="J423" s="85"/>
      <c r="K423" s="141"/>
      <c r="L423" s="85"/>
    </row>
    <row r="424" spans="1:12" ht="20.25" customHeight="1">
      <c r="A424" s="58"/>
      <c r="B424" s="81"/>
      <c r="C424" s="88" t="s">
        <v>138</v>
      </c>
      <c r="D424" s="120"/>
      <c r="E424" s="83"/>
      <c r="F424" s="84"/>
      <c r="G424" s="323" t="e">
        <f>Tracking_SI59[[#This Row],[Còn lại so với ĐH]]/Tracking_SI59[[#This Row],[Số  lượng trên ĐH]]</f>
        <v>#DIV/0!</v>
      </c>
      <c r="H424" s="84"/>
      <c r="I424" s="208"/>
      <c r="J424" s="85"/>
      <c r="K424" s="141"/>
      <c r="L424" s="85"/>
    </row>
    <row r="425" spans="1:12" ht="20.25" customHeight="1">
      <c r="A425" s="58"/>
      <c r="B425" s="81" t="s">
        <v>87</v>
      </c>
      <c r="C425" s="88" t="s">
        <v>113</v>
      </c>
      <c r="D425" s="119"/>
      <c r="E425" s="83"/>
      <c r="F425" s="84"/>
      <c r="G425" s="323" t="e">
        <f>Tracking_SI59[[#This Row],[Còn lại so với ĐH]]/Tracking_SI59[[#This Row],[Số  lượng trên ĐH]]</f>
        <v>#DIV/0!</v>
      </c>
      <c r="H425" s="84"/>
      <c r="I425" s="208"/>
      <c r="J425" s="85"/>
      <c r="K425" s="141"/>
      <c r="L425" s="85"/>
    </row>
    <row r="426" spans="1:12" ht="20.25" customHeight="1">
      <c r="A426" s="58"/>
      <c r="B426" s="81"/>
      <c r="C426" s="82" t="s">
        <v>88</v>
      </c>
      <c r="D426" s="118"/>
      <c r="E426" s="83"/>
      <c r="F426" s="84"/>
      <c r="G426" s="323" t="e">
        <f>Tracking_SI59[[#This Row],[Còn lại so với ĐH]]/Tracking_SI59[[#This Row],[Số  lượng trên ĐH]]</f>
        <v>#DIV/0!</v>
      </c>
      <c r="H426" s="84"/>
      <c r="I426" s="208"/>
      <c r="J426" s="85"/>
      <c r="K426" s="141"/>
      <c r="L426" s="85"/>
    </row>
    <row r="427" spans="1:12" ht="20.25" customHeight="1">
      <c r="A427" s="58"/>
      <c r="B427" s="89"/>
      <c r="C427" s="88" t="s">
        <v>89</v>
      </c>
      <c r="D427" s="118"/>
      <c r="E427" s="83"/>
      <c r="F427" s="84"/>
      <c r="G427" s="323" t="e">
        <f>Tracking_SI59[[#This Row],[Còn lại so với ĐH]]/Tracking_SI59[[#This Row],[Số  lượng trên ĐH]]</f>
        <v>#DIV/0!</v>
      </c>
      <c r="H427" s="84"/>
      <c r="I427" s="206"/>
      <c r="J427" s="85"/>
      <c r="K427" s="141"/>
      <c r="L427" s="85"/>
    </row>
    <row r="428" spans="1:12" ht="19.5" customHeight="1">
      <c r="A428" s="58"/>
      <c r="B428" s="81" t="s">
        <v>184</v>
      </c>
      <c r="C428" s="88" t="s">
        <v>185</v>
      </c>
      <c r="D428" s="118"/>
      <c r="E428" s="83"/>
      <c r="F428" s="84"/>
      <c r="G428" s="323" t="e">
        <f>Tracking_SI59[[#This Row],[Còn lại so với ĐH]]/Tracking_SI59[[#This Row],[Số  lượng trên ĐH]]</f>
        <v>#DIV/0!</v>
      </c>
      <c r="H428" s="84"/>
      <c r="I428" s="206"/>
      <c r="J428" s="85"/>
      <c r="K428" s="141"/>
      <c r="L428" s="85"/>
    </row>
    <row r="429" spans="1:12" ht="21.75" customHeight="1">
      <c r="A429" s="58"/>
      <c r="B429" s="89"/>
      <c r="C429" s="88" t="s">
        <v>91</v>
      </c>
      <c r="D429" s="118"/>
      <c r="E429" s="83"/>
      <c r="F429" s="84"/>
      <c r="G429" s="323" t="e">
        <f>Tracking_SI59[[#This Row],[Còn lại so với ĐH]]/Tracking_SI59[[#This Row],[Số  lượng trên ĐH]]</f>
        <v>#DIV/0!</v>
      </c>
      <c r="H429" s="84"/>
      <c r="I429" s="206"/>
      <c r="J429" s="85"/>
      <c r="K429" s="141"/>
      <c r="L429" s="85"/>
    </row>
    <row r="430" spans="1:12" ht="21.75" customHeight="1">
      <c r="A430" s="58"/>
      <c r="B430" s="89" t="s">
        <v>207</v>
      </c>
      <c r="C430" s="88" t="s">
        <v>210</v>
      </c>
      <c r="D430" s="118"/>
      <c r="E430" s="83"/>
      <c r="F430" s="84"/>
      <c r="G430" s="323" t="e">
        <f>Tracking_SI59[[#This Row],[Còn lại so với ĐH]]/Tracking_SI59[[#This Row],[Số  lượng trên ĐH]]</f>
        <v>#DIV/0!</v>
      </c>
      <c r="H430" s="84"/>
      <c r="I430" s="206"/>
      <c r="J430" s="85"/>
      <c r="K430" s="141"/>
      <c r="L430" s="85"/>
    </row>
    <row r="431" spans="1:12">
      <c r="A431" s="57"/>
      <c r="B431" s="421" t="s">
        <v>207</v>
      </c>
      <c r="C431" s="261"/>
      <c r="D431" s="341">
        <v>46078</v>
      </c>
      <c r="E431" s="342" t="s">
        <v>208</v>
      </c>
      <c r="F431" s="343">
        <v>5000</v>
      </c>
      <c r="G431" s="323">
        <f>Tracking_SI59[[#This Row],[Còn lại so với ĐH]]/Tracking_SI59[[#This Row],[Số  lượng trên ĐH]]</f>
        <v>1.0800000000000001E-2</v>
      </c>
      <c r="H431" s="343">
        <f>SUM(H432:H433)</f>
        <v>4946</v>
      </c>
      <c r="I431" s="378">
        <f>Tracking_SI59[[#This Row],[Số  lượng trên ĐH]]-Tracking_SI59[[#This Row],[Số  lượng giao]]</f>
        <v>54</v>
      </c>
      <c r="J431" s="343"/>
      <c r="K431" s="356"/>
      <c r="L431" s="32"/>
    </row>
    <row r="432" spans="1:12" ht="26.25" customHeight="1">
      <c r="A432" s="57"/>
      <c r="B432" s="1" t="s">
        <v>207</v>
      </c>
      <c r="C432" s="46"/>
      <c r="D432" s="116" t="s">
        <v>262</v>
      </c>
      <c r="E432" s="30" t="s">
        <v>208</v>
      </c>
      <c r="F432" s="166"/>
      <c r="G432" s="323" t="e">
        <f>Tracking_SI59[[#This Row],[Còn lại so với ĐH]]/Tracking_SI59[[#This Row],[Số  lượng trên ĐH]]</f>
        <v>#DIV/0!</v>
      </c>
      <c r="H432" s="166">
        <v>3329</v>
      </c>
      <c r="I432" s="619"/>
      <c r="J432" s="344"/>
      <c r="K432" s="133"/>
      <c r="L432" s="32"/>
    </row>
    <row r="433" spans="1:20" ht="24" customHeight="1">
      <c r="A433" s="57"/>
      <c r="B433" s="1" t="s">
        <v>207</v>
      </c>
      <c r="C433" s="46"/>
      <c r="D433" s="116">
        <v>46230</v>
      </c>
      <c r="E433" s="30" t="s">
        <v>208</v>
      </c>
      <c r="F433" s="166"/>
      <c r="G433" s="323" t="e">
        <f>Tracking_SI59[[#This Row],[Còn lại so với ĐH]]/Tracking_SI59[[#This Row],[Số  lượng trên ĐH]]</f>
        <v>#DIV/0!</v>
      </c>
      <c r="H433" s="166">
        <v>1617</v>
      </c>
      <c r="I433" s="606"/>
      <c r="J433" s="344"/>
      <c r="K433" s="133"/>
      <c r="L433" s="32"/>
    </row>
    <row r="434" spans="1:20" ht="24" customHeight="1">
      <c r="A434" s="58"/>
      <c r="B434" s="90"/>
      <c r="C434" s="91" t="s">
        <v>93</v>
      </c>
      <c r="D434" s="121"/>
      <c r="E434" s="92"/>
      <c r="F434" s="93"/>
      <c r="G434" s="323" t="e">
        <f>Tracking_SI59[[#This Row],[Còn lại so với ĐH]]/Tracking_SI59[[#This Row],[Số  lượng trên ĐH]]</f>
        <v>#DIV/0!</v>
      </c>
      <c r="H434" s="93"/>
      <c r="I434" s="94"/>
      <c r="J434" s="94"/>
      <c r="K434" s="143"/>
      <c r="L434" s="94"/>
    </row>
    <row r="435" spans="1:20" ht="24" customHeight="1">
      <c r="A435" s="58"/>
      <c r="B435" s="90"/>
      <c r="C435" s="95" t="s">
        <v>94</v>
      </c>
      <c r="D435" s="121"/>
      <c r="E435" s="92"/>
      <c r="F435" s="96"/>
      <c r="G435" s="323" t="e">
        <f>Tracking_SI59[[#This Row],[Còn lại so với ĐH]]/Tracking_SI59[[#This Row],[Số  lượng trên ĐH]]</f>
        <v>#DIV/0!</v>
      </c>
      <c r="H435" s="96"/>
      <c r="I435" s="94"/>
      <c r="J435" s="94"/>
      <c r="K435" s="143"/>
      <c r="L435" s="94"/>
      <c r="R435" s="19"/>
      <c r="T435" s="19"/>
    </row>
    <row r="436" spans="1:20">
      <c r="A436" s="58"/>
      <c r="B436" s="90"/>
      <c r="C436" s="95" t="s">
        <v>96</v>
      </c>
      <c r="D436" s="121"/>
      <c r="E436" s="97"/>
      <c r="F436" s="98"/>
      <c r="G436" s="323" t="e">
        <f>Tracking_SI59[[#This Row],[Còn lại so với ĐH]]/Tracking_SI59[[#This Row],[Số  lượng trên ĐH]]</f>
        <v>#DIV/0!</v>
      </c>
      <c r="H436" s="98"/>
      <c r="I436" s="94"/>
      <c r="J436" s="98"/>
      <c r="K436" s="144"/>
      <c r="L436" s="94"/>
    </row>
    <row r="437" spans="1:20">
      <c r="A437" s="58"/>
      <c r="B437" s="331" t="s">
        <v>182</v>
      </c>
      <c r="C437" s="91" t="s">
        <v>183</v>
      </c>
      <c r="D437" s="121"/>
      <c r="E437" s="92"/>
      <c r="F437" s="96"/>
      <c r="G437" s="323" t="e">
        <f>Tracking_SI59[[#This Row],[Còn lại so với ĐH]]/Tracking_SI59[[#This Row],[Số  lượng trên ĐH]]</f>
        <v>#DIV/0!</v>
      </c>
      <c r="H437" s="96"/>
      <c r="I437" s="94"/>
      <c r="J437" s="94"/>
      <c r="K437" s="143"/>
      <c r="L437" s="94"/>
    </row>
    <row r="438" spans="1:20">
      <c r="A438" s="58"/>
      <c r="B438" s="90" t="s">
        <v>264</v>
      </c>
      <c r="C438" s="91" t="s">
        <v>266</v>
      </c>
      <c r="D438" s="121"/>
      <c r="E438" s="99"/>
      <c r="F438" s="92"/>
      <c r="G438" s="323" t="e">
        <f>Tracking_SI59[[#This Row],[Còn lại so với ĐH]]/Tracking_SI59[[#This Row],[Số  lượng trên ĐH]]</f>
        <v>#DIV/0!</v>
      </c>
      <c r="H438" s="92"/>
      <c r="I438" s="94"/>
      <c r="J438" s="100"/>
      <c r="K438" s="145"/>
      <c r="L438" s="94"/>
    </row>
    <row r="439" spans="1:20" s="440" customFormat="1">
      <c r="A439" s="52"/>
      <c r="B439" s="421" t="s">
        <v>264</v>
      </c>
      <c r="C439" s="593"/>
      <c r="D439" s="341">
        <v>46140</v>
      </c>
      <c r="E439" s="342" t="s">
        <v>263</v>
      </c>
      <c r="F439" s="343">
        <v>12000</v>
      </c>
      <c r="G439" s="439">
        <f>Tracking_SI59[[#This Row],[Còn lại so với ĐH]]/Tracking_SI59[[#This Row],[Số  lượng trên ĐH]]</f>
        <v>-7.2500000000000004E-3</v>
      </c>
      <c r="H439" s="343">
        <f>SUM(H440:H444)</f>
        <v>12087</v>
      </c>
      <c r="I439" s="378">
        <f>Tracking_SI59[[#This Row],[Số  lượng trên ĐH]]-Tracking_SI59[[#This Row],[Số  lượng giao]]</f>
        <v>-87</v>
      </c>
      <c r="J439" s="343">
        <v>41800</v>
      </c>
      <c r="K439" s="356" t="s">
        <v>282</v>
      </c>
      <c r="L439" s="45"/>
    </row>
    <row r="440" spans="1:20">
      <c r="A440" s="58"/>
      <c r="B440" s="1" t="s">
        <v>264</v>
      </c>
      <c r="C440" s="48"/>
      <c r="D440" s="116">
        <v>46148</v>
      </c>
      <c r="E440" s="30" t="s">
        <v>263</v>
      </c>
      <c r="F440" s="166"/>
      <c r="G440" s="323" t="e">
        <f>Tracking_SI59[[#This Row],[Còn lại so với ĐH]]/Tracking_SI59[[#This Row],[Số  lượng trên ĐH]]</f>
        <v>#DIV/0!</v>
      </c>
      <c r="H440" s="166">
        <v>1569</v>
      </c>
      <c r="I440" s="344"/>
      <c r="J440" s="344"/>
      <c r="K440" s="133" t="s">
        <v>118</v>
      </c>
      <c r="L440" s="32"/>
    </row>
    <row r="441" spans="1:20">
      <c r="A441" s="58"/>
      <c r="B441" s="1" t="s">
        <v>264</v>
      </c>
      <c r="C441" s="48"/>
      <c r="D441" s="116">
        <v>46151</v>
      </c>
      <c r="E441" s="30" t="s">
        <v>263</v>
      </c>
      <c r="F441" s="166"/>
      <c r="G441" s="323" t="e">
        <f>Tracking_SI59[[#This Row],[Còn lại so với ĐH]]/Tracking_SI59[[#This Row],[Số  lượng trên ĐH]]</f>
        <v>#DIV/0!</v>
      </c>
      <c r="H441" s="166">
        <v>2355</v>
      </c>
      <c r="I441" s="344"/>
      <c r="J441" s="344"/>
      <c r="K441" s="133" t="s">
        <v>118</v>
      </c>
      <c r="L441" s="32"/>
    </row>
    <row r="442" spans="1:20">
      <c r="A442" s="58"/>
      <c r="B442" s="1" t="s">
        <v>264</v>
      </c>
      <c r="C442" s="48"/>
      <c r="D442" s="116">
        <v>46225</v>
      </c>
      <c r="E442" s="30" t="s">
        <v>263</v>
      </c>
      <c r="F442" s="166"/>
      <c r="G442" s="323" t="e">
        <f>Tracking_SI59[[#This Row],[Còn lại so với ĐH]]/Tracking_SI59[[#This Row],[Số  lượng trên ĐH]]</f>
        <v>#DIV/0!</v>
      </c>
      <c r="H442" s="166">
        <v>2117</v>
      </c>
      <c r="I442" s="344"/>
      <c r="J442" s="344"/>
      <c r="K442" s="133" t="s">
        <v>118</v>
      </c>
      <c r="L442" s="32"/>
    </row>
    <row r="443" spans="1:20">
      <c r="A443" s="58"/>
      <c r="B443" s="1" t="s">
        <v>264</v>
      </c>
      <c r="C443" s="312"/>
      <c r="D443" s="116">
        <v>46230</v>
      </c>
      <c r="E443" s="30" t="s">
        <v>263</v>
      </c>
      <c r="F443" s="31"/>
      <c r="G443" s="326" t="e">
        <f>Tracking_SI59[[#This Row],[Còn lại so với ĐH]]/Tracking_SI59[[#This Row],[Số  lượng trên ĐH]]</f>
        <v>#DIV/0!</v>
      </c>
      <c r="H443" s="31">
        <v>2595</v>
      </c>
      <c r="I443" s="668"/>
      <c r="J443" s="32"/>
      <c r="K443" s="133" t="s">
        <v>118</v>
      </c>
      <c r="L443" s="32"/>
    </row>
    <row r="444" spans="1:20">
      <c r="A444" s="58"/>
      <c r="B444" s="1" t="s">
        <v>264</v>
      </c>
      <c r="C444" s="312"/>
      <c r="D444" s="116">
        <v>46237</v>
      </c>
      <c r="E444" s="30" t="s">
        <v>263</v>
      </c>
      <c r="F444" s="31"/>
      <c r="G444" s="326" t="e">
        <f>Tracking_SI59[[#This Row],[Còn lại so với ĐH]]/Tracking_SI59[[#This Row],[Số  lượng trên ĐH]]</f>
        <v>#DIV/0!</v>
      </c>
      <c r="H444" s="31">
        <v>3451</v>
      </c>
      <c r="I444" s="668"/>
      <c r="J444" s="32"/>
      <c r="K444" s="133" t="s">
        <v>118</v>
      </c>
      <c r="L444" s="32"/>
    </row>
    <row r="445" spans="1:20">
      <c r="A445" s="58"/>
      <c r="B445" s="90"/>
      <c r="C445" s="91" t="s">
        <v>100</v>
      </c>
      <c r="D445" s="121"/>
      <c r="E445" s="92"/>
      <c r="F445" s="96"/>
      <c r="G445" s="323" t="e">
        <f>Tracking_SI59[[#This Row],[Còn lại so với ĐH]]/Tracking_SI59[[#This Row],[Số  lượng trên ĐH]]</f>
        <v>#DIV/0!</v>
      </c>
      <c r="H445" s="96"/>
      <c r="I445" s="94"/>
      <c r="J445" s="94"/>
      <c r="K445" s="143"/>
      <c r="L445" s="94"/>
    </row>
    <row r="446" spans="1:20">
      <c r="A446" s="58"/>
      <c r="B446" s="90"/>
      <c r="C446" s="95" t="s">
        <v>101</v>
      </c>
      <c r="D446" s="121"/>
      <c r="E446" s="92"/>
      <c r="F446" s="96"/>
      <c r="G446" s="323" t="e">
        <f>Tracking_SI59[[#This Row],[Còn lại so với ĐH]]/Tracking_SI59[[#This Row],[Số  lượng trên ĐH]]</f>
        <v>#DIV/0!</v>
      </c>
      <c r="H446" s="96"/>
      <c r="I446" s="94"/>
      <c r="J446" s="94"/>
      <c r="K446" s="143"/>
      <c r="L446" s="94"/>
    </row>
    <row r="447" spans="1:20" ht="17.399999999999999">
      <c r="A447" s="58"/>
      <c r="B447" s="101"/>
      <c r="C447" s="102" t="s">
        <v>103</v>
      </c>
      <c r="D447" s="122"/>
      <c r="E447" s="103"/>
      <c r="F447" s="104"/>
      <c r="G447" s="323" t="e">
        <f>Tracking_SI59[[#This Row],[Còn lại so với ĐH]]/Tracking_SI59[[#This Row],[Số  lượng trên ĐH]]</f>
        <v>#DIV/0!</v>
      </c>
      <c r="H447" s="104"/>
      <c r="I447" s="187"/>
      <c r="J447" s="105"/>
      <c r="K447" s="146"/>
      <c r="L447" s="105"/>
    </row>
    <row r="448" spans="1:20">
      <c r="A448" s="58"/>
      <c r="B448" s="277" t="s">
        <v>159</v>
      </c>
      <c r="C448" s="278" t="s">
        <v>160</v>
      </c>
      <c r="D448" s="279"/>
      <c r="E448" s="280"/>
      <c r="F448" s="281"/>
      <c r="G448" s="323" t="e">
        <f>Tracking_SI59[[#This Row],[Còn lại so với ĐH]]/Tracking_SI59[[#This Row],[Số  lượng trên ĐH]]</f>
        <v>#DIV/0!</v>
      </c>
      <c r="H448" s="282"/>
      <c r="I448" s="283"/>
      <c r="J448" s="284"/>
      <c r="K448" s="285"/>
      <c r="L448" s="286"/>
    </row>
    <row r="449" spans="1:23">
      <c r="D449" s="273"/>
      <c r="F449" s="590"/>
      <c r="H449" s="187"/>
      <c r="I449" s="270"/>
      <c r="J449" s="271"/>
      <c r="K449" s="591"/>
      <c r="L449" s="592"/>
    </row>
    <row r="450" spans="1:23">
      <c r="D450" s="273"/>
      <c r="F450" s="19"/>
      <c r="H450" s="187"/>
      <c r="I450" s="270"/>
      <c r="J450" s="271"/>
      <c r="K450" s="272"/>
    </row>
    <row r="451" spans="1:23">
      <c r="F451" s="19"/>
      <c r="H451" s="187"/>
      <c r="I451" s="270"/>
      <c r="J451" s="271"/>
      <c r="K451" s="147"/>
    </row>
    <row r="452" spans="1:23">
      <c r="F452" s="275"/>
      <c r="H452" s="187"/>
      <c r="I452" s="275"/>
      <c r="J452" s="276"/>
      <c r="K452" s="275"/>
    </row>
    <row r="453" spans="1:23">
      <c r="H453" s="187"/>
    </row>
    <row r="454" spans="1:23">
      <c r="H454" s="187"/>
    </row>
    <row r="455" spans="1:23">
      <c r="H455" s="187"/>
    </row>
    <row r="456" spans="1:23" s="18" customFormat="1" ht="15.6">
      <c r="A456" s="59"/>
      <c r="B456" s="22"/>
      <c r="C456" s="51"/>
      <c r="D456" s="844"/>
      <c r="E456" s="848"/>
      <c r="F456"/>
      <c r="G456"/>
      <c r="H456" s="187"/>
      <c r="J456" s="147"/>
      <c r="K456"/>
      <c r="L456" s="322"/>
      <c r="N456"/>
      <c r="O456"/>
      <c r="P456"/>
      <c r="Q456"/>
      <c r="R456"/>
      <c r="S456"/>
      <c r="T456"/>
      <c r="U456"/>
      <c r="V456"/>
      <c r="W456"/>
    </row>
    <row r="457" spans="1:23" s="18" customFormat="1">
      <c r="A457" s="59"/>
      <c r="B457" s="22"/>
      <c r="C457" s="51"/>
      <c r="D457" s="51"/>
      <c r="E457" s="743"/>
      <c r="F457"/>
      <c r="G457"/>
      <c r="H457" s="187"/>
      <c r="J457" s="147"/>
      <c r="K457"/>
      <c r="L457" s="322"/>
      <c r="N457"/>
      <c r="O457"/>
      <c r="P457"/>
      <c r="Q457"/>
      <c r="R457"/>
      <c r="S457"/>
      <c r="T457"/>
      <c r="U457"/>
      <c r="V457"/>
      <c r="W457"/>
    </row>
    <row r="458" spans="1:23" s="18" customFormat="1">
      <c r="A458" s="59"/>
      <c r="B458" s="22"/>
      <c r="C458" s="51"/>
      <c r="D458" s="216"/>
      <c r="E458" s="744"/>
      <c r="F458"/>
      <c r="G458"/>
      <c r="H458" s="190"/>
      <c r="J458" s="147"/>
      <c r="K458"/>
      <c r="L458" s="322"/>
      <c r="N458"/>
      <c r="O458"/>
      <c r="P458"/>
      <c r="Q458"/>
      <c r="R458"/>
      <c r="S458"/>
      <c r="T458"/>
      <c r="U458"/>
      <c r="V458"/>
      <c r="W458"/>
    </row>
    <row r="459" spans="1:23" s="18" customFormat="1">
      <c r="A459" s="59"/>
      <c r="B459" s="22"/>
      <c r="C459" s="51"/>
      <c r="D459" s="216"/>
      <c r="E459" s="744"/>
      <c r="F459" s="53"/>
      <c r="G459"/>
      <c r="H459" s="187"/>
      <c r="J459" s="147"/>
      <c r="K459"/>
      <c r="L459" s="322"/>
      <c r="N459"/>
      <c r="O459"/>
      <c r="P459"/>
      <c r="Q459"/>
      <c r="R459"/>
      <c r="S459"/>
      <c r="T459"/>
      <c r="U459"/>
      <c r="V459"/>
      <c r="W459"/>
    </row>
    <row r="460" spans="1:23" s="18" customFormat="1">
      <c r="A460" s="59"/>
      <c r="B460" s="22"/>
      <c r="C460" s="51"/>
      <c r="D460" s="216"/>
      <c r="E460" s="744"/>
      <c r="F460"/>
      <c r="G460"/>
      <c r="H460" s="189"/>
      <c r="J460" s="147"/>
      <c r="K460"/>
      <c r="L460" s="322"/>
      <c r="N460"/>
      <c r="O460"/>
      <c r="P460"/>
      <c r="Q460"/>
      <c r="R460"/>
      <c r="S460"/>
      <c r="T460"/>
      <c r="U460"/>
      <c r="V460"/>
      <c r="W460"/>
    </row>
    <row r="461" spans="1:23" s="18" customFormat="1">
      <c r="A461" s="59"/>
      <c r="B461" s="22"/>
      <c r="C461" s="51"/>
      <c r="D461" s="216"/>
      <c r="E461" s="744"/>
      <c r="F461"/>
      <c r="G461"/>
      <c r="H461" s="187"/>
      <c r="J461" s="147"/>
      <c r="K461"/>
      <c r="L461" s="322"/>
      <c r="N461"/>
      <c r="O461"/>
      <c r="P461"/>
      <c r="Q461"/>
      <c r="R461"/>
      <c r="S461"/>
      <c r="T461"/>
      <c r="U461"/>
      <c r="V461"/>
      <c r="W461"/>
    </row>
    <row r="462" spans="1:23" s="18" customFormat="1">
      <c r="A462" s="59"/>
      <c r="B462" s="22"/>
      <c r="C462" s="51"/>
      <c r="D462" s="216"/>
      <c r="E462" s="744"/>
      <c r="F462"/>
      <c r="G462"/>
      <c r="H462" s="187"/>
      <c r="J462" s="147"/>
      <c r="K462"/>
      <c r="L462" s="322"/>
      <c r="N462"/>
      <c r="O462"/>
      <c r="P462"/>
      <c r="Q462"/>
      <c r="R462"/>
      <c r="S462"/>
      <c r="T462"/>
      <c r="U462"/>
      <c r="V462"/>
      <c r="W462"/>
    </row>
    <row r="463" spans="1:23" s="18" customFormat="1">
      <c r="A463" s="59"/>
      <c r="B463" s="22"/>
      <c r="C463" s="51"/>
      <c r="D463" s="216"/>
      <c r="E463" s="744"/>
      <c r="F463"/>
      <c r="G463"/>
      <c r="H463" s="9"/>
      <c r="J463" s="147"/>
      <c r="K463"/>
      <c r="L463" s="322"/>
      <c r="N463"/>
      <c r="O463"/>
      <c r="P463"/>
      <c r="Q463"/>
      <c r="R463"/>
      <c r="S463"/>
      <c r="T463"/>
      <c r="U463"/>
      <c r="V463"/>
      <c r="W463"/>
    </row>
    <row r="464" spans="1:23" s="18" customFormat="1">
      <c r="A464" s="59"/>
      <c r="B464" s="22"/>
      <c r="C464" s="51"/>
      <c r="D464" s="216"/>
      <c r="E464" s="744"/>
      <c r="F464"/>
      <c r="G464"/>
      <c r="H464" s="9"/>
      <c r="J464" s="147"/>
      <c r="K464"/>
      <c r="L464" s="322"/>
      <c r="N464"/>
      <c r="O464"/>
      <c r="P464"/>
      <c r="Q464"/>
      <c r="R464"/>
      <c r="S464"/>
      <c r="T464"/>
      <c r="U464"/>
      <c r="V464"/>
      <c r="W464"/>
    </row>
    <row r="465" spans="1:23" s="18" customFormat="1">
      <c r="A465" s="59"/>
      <c r="B465" s="22"/>
      <c r="C465" s="51"/>
      <c r="D465" s="216"/>
      <c r="E465" s="744"/>
      <c r="F465"/>
      <c r="G465"/>
      <c r="H465" s="9"/>
      <c r="J465" s="147"/>
      <c r="K465"/>
      <c r="L465" s="322"/>
      <c r="N465"/>
      <c r="O465"/>
      <c r="P465"/>
      <c r="Q465"/>
      <c r="R465"/>
      <c r="S465"/>
      <c r="T465"/>
      <c r="U465"/>
      <c r="V465"/>
      <c r="W465"/>
    </row>
    <row r="466" spans="1:23">
      <c r="D466" s="216"/>
      <c r="E466" s="744"/>
    </row>
    <row r="467" spans="1:23" s="18" customFormat="1">
      <c r="A467" s="59"/>
      <c r="B467" s="22"/>
      <c r="C467" s="51"/>
      <c r="D467" s="216"/>
      <c r="E467" s="744"/>
      <c r="F467"/>
      <c r="G467"/>
      <c r="H467" s="9"/>
      <c r="J467" s="147"/>
      <c r="K467"/>
      <c r="L467" s="322"/>
      <c r="N467"/>
      <c r="O467"/>
      <c r="P467"/>
      <c r="Q467"/>
      <c r="R467"/>
      <c r="S467"/>
      <c r="T467"/>
      <c r="U467"/>
      <c r="V467"/>
      <c r="W467"/>
    </row>
    <row r="468" spans="1:23" s="18" customFormat="1">
      <c r="A468" s="59"/>
      <c r="B468" s="22"/>
      <c r="C468" s="51"/>
      <c r="D468" s="216"/>
      <c r="E468" s="745"/>
      <c r="F468"/>
      <c r="G468"/>
      <c r="H468" s="9"/>
      <c r="J468" s="147"/>
      <c r="K468"/>
      <c r="L468" s="322"/>
      <c r="N468"/>
      <c r="O468"/>
      <c r="P468"/>
      <c r="Q468"/>
      <c r="R468"/>
      <c r="S468"/>
      <c r="T468"/>
      <c r="U468"/>
      <c r="V468"/>
      <c r="W468"/>
    </row>
    <row r="469" spans="1:23" s="18" customFormat="1">
      <c r="A469" s="59"/>
      <c r="B469" s="22"/>
      <c r="C469" s="51"/>
      <c r="D469" s="30"/>
      <c r="E469" s="737"/>
      <c r="F469"/>
      <c r="G469"/>
      <c r="H469" s="9"/>
      <c r="J469" s="147"/>
      <c r="K469"/>
      <c r="L469" s="322"/>
      <c r="N469"/>
      <c r="O469"/>
      <c r="P469"/>
      <c r="Q469"/>
      <c r="R469"/>
      <c r="S469"/>
      <c r="T469"/>
      <c r="U469"/>
      <c r="V469"/>
      <c r="W469"/>
    </row>
    <row r="470" spans="1:23" s="18" customFormat="1">
      <c r="A470" s="59"/>
      <c r="B470" s="22"/>
      <c r="C470" s="51"/>
      <c r="D470" s="216"/>
      <c r="E470" s="737"/>
      <c r="F470"/>
      <c r="G470"/>
      <c r="H470" s="9"/>
      <c r="J470" s="147"/>
      <c r="K470"/>
      <c r="L470" s="322"/>
      <c r="N470"/>
      <c r="O470"/>
      <c r="P470"/>
      <c r="Q470"/>
      <c r="R470"/>
      <c r="S470"/>
      <c r="T470"/>
      <c r="U470"/>
      <c r="V470"/>
      <c r="W470"/>
    </row>
    <row r="471" spans="1:23" s="18" customFormat="1">
      <c r="A471" s="59"/>
      <c r="B471" s="22"/>
      <c r="C471" s="51"/>
      <c r="D471" s="217"/>
      <c r="E471" s="746"/>
      <c r="F471"/>
      <c r="G471"/>
      <c r="H471" s="9"/>
      <c r="J471" s="147"/>
      <c r="K471"/>
      <c r="L471" s="322"/>
      <c r="N471"/>
      <c r="O471"/>
      <c r="P471"/>
      <c r="Q471"/>
      <c r="R471"/>
      <c r="S471"/>
      <c r="T471"/>
      <c r="U471"/>
      <c r="V471"/>
      <c r="W471"/>
    </row>
    <row r="472" spans="1:23">
      <c r="D472" s="217"/>
      <c r="E472" s="746"/>
    </row>
    <row r="473" spans="1:23">
      <c r="D473" s="217"/>
      <c r="E473" s="746"/>
    </row>
    <row r="474" spans="1:23">
      <c r="D474" s="218"/>
      <c r="E474" s="747"/>
    </row>
    <row r="475" spans="1:23">
      <c r="D475" s="218"/>
      <c r="E475" s="747"/>
    </row>
    <row r="476" spans="1:23">
      <c r="E476" s="746"/>
    </row>
    <row r="477" spans="1:23">
      <c r="E477" s="746"/>
    </row>
    <row r="478" spans="1:23">
      <c r="E478" s="746"/>
    </row>
    <row r="479" spans="1:23">
      <c r="E479" s="746"/>
    </row>
  </sheetData>
  <mergeCells count="2">
    <mergeCell ref="A1:I2"/>
    <mergeCell ref="D456:E456"/>
  </mergeCells>
  <phoneticPr fontId="19" type="noConversion"/>
  <conditionalFormatting sqref="D3:D200 D202:D291 D293:D309 D329:D374 D376:D381 D388:D448">
    <cfRule type="timePeriod" dxfId="70" priority="18" stopIfTrue="1" timePeriod="today">
      <formula>FLOOR(D3,1)=TODAY()</formula>
    </cfRule>
  </conditionalFormatting>
  <conditionalFormatting sqref="D311:D326">
    <cfRule type="timePeriod" dxfId="69" priority="43" stopIfTrue="1" timePeriod="today">
      <formula>FLOOR(D311,1)=TODAY()</formula>
    </cfRule>
  </conditionalFormatting>
  <conditionalFormatting sqref="D328">
    <cfRule type="timePeriod" dxfId="68" priority="1" stopIfTrue="1" timePeriod="today">
      <formula>FLOOR(D328,1)=TODAY()</formula>
    </cfRule>
  </conditionalFormatting>
  <conditionalFormatting sqref="D375:K375">
    <cfRule type="timePeriod" dxfId="67" priority="83" timePeriod="today">
      <formula>FLOOR(D375,1)=TODAY()</formula>
    </cfRule>
  </conditionalFormatting>
  <conditionalFormatting sqref="E240 I302:I336 I376:I379 I395:I433 I447">
    <cfRule type="cellIs" dxfId="66" priority="70" operator="lessThan">
      <formula>-1</formula>
    </cfRule>
  </conditionalFormatting>
  <conditionalFormatting sqref="E309">
    <cfRule type="cellIs" dxfId="65" priority="72" operator="lessThan">
      <formula>-1</formula>
    </cfRule>
  </conditionalFormatting>
  <conditionalFormatting sqref="E337">
    <cfRule type="cellIs" dxfId="64" priority="64" operator="lessThan">
      <formula>-1</formula>
    </cfRule>
  </conditionalFormatting>
  <conditionalFormatting sqref="E399 E401:E403">
    <cfRule type="timePeriod" dxfId="63" priority="34" stopIfTrue="1" timePeriod="today">
      <formula>FLOOR(E399,1)=TODAY()</formula>
    </cfRule>
  </conditionalFormatting>
  <conditionalFormatting sqref="F5:G5 G302:G336 G362:G387 G396:G448">
    <cfRule type="cellIs" dxfId="62" priority="28" operator="lessThan">
      <formula>-0.01</formula>
    </cfRule>
  </conditionalFormatting>
  <conditionalFormatting sqref="F12:G12">
    <cfRule type="cellIs" dxfId="61" priority="17" operator="lessThan">
      <formula>-0.01</formula>
    </cfRule>
  </conditionalFormatting>
  <conditionalFormatting sqref="F25:G25">
    <cfRule type="cellIs" dxfId="60" priority="26" operator="lessThan">
      <formula>-0.01</formula>
    </cfRule>
  </conditionalFormatting>
  <conditionalFormatting sqref="F31:G31">
    <cfRule type="cellIs" dxfId="59" priority="54" operator="lessThan">
      <formula>-0.01</formula>
    </cfRule>
  </conditionalFormatting>
  <conditionalFormatting sqref="F42:G42">
    <cfRule type="cellIs" dxfId="58" priority="55" operator="lessThan">
      <formula>-0.01</formula>
    </cfRule>
  </conditionalFormatting>
  <conditionalFormatting sqref="F50:G50">
    <cfRule type="cellIs" dxfId="57" priority="2" operator="lessThan">
      <formula>-0.01</formula>
    </cfRule>
  </conditionalFormatting>
  <conditionalFormatting sqref="F56:G56">
    <cfRule type="cellIs" dxfId="56" priority="58" operator="lessThan">
      <formula>-0.01</formula>
    </cfRule>
  </conditionalFormatting>
  <conditionalFormatting sqref="F149:G149">
    <cfRule type="cellIs" dxfId="55" priority="47" operator="lessThan">
      <formula>-1</formula>
    </cfRule>
  </conditionalFormatting>
  <conditionalFormatting sqref="F172:G172">
    <cfRule type="cellIs" dxfId="54" priority="41" operator="lessThan">
      <formula>-1</formula>
    </cfRule>
  </conditionalFormatting>
  <conditionalFormatting sqref="F179:G179">
    <cfRule type="cellIs" dxfId="53" priority="10" operator="lessThan">
      <formula>-1</formula>
    </cfRule>
  </conditionalFormatting>
  <conditionalFormatting sqref="F189:G189">
    <cfRule type="cellIs" dxfId="52" priority="4" operator="lessThan">
      <formula>-1</formula>
    </cfRule>
  </conditionalFormatting>
  <conditionalFormatting sqref="F273:G273">
    <cfRule type="cellIs" dxfId="51" priority="40" operator="lessThan">
      <formula>-1</formula>
    </cfRule>
  </conditionalFormatting>
  <conditionalFormatting sqref="F309:G309">
    <cfRule type="cellIs" dxfId="50" priority="71" operator="lessThan">
      <formula>-1</formula>
    </cfRule>
  </conditionalFormatting>
  <conditionalFormatting sqref="F371:G373">
    <cfRule type="cellIs" dxfId="49" priority="76" operator="lessThan">
      <formula>-1</formula>
    </cfRule>
  </conditionalFormatting>
  <conditionalFormatting sqref="F388:G388">
    <cfRule type="cellIs" dxfId="48" priority="38" operator="lessThan">
      <formula>-1</formula>
    </cfRule>
  </conditionalFormatting>
  <conditionalFormatting sqref="F381:H387 F389:H394 D310:E310 N380:XFD394 A381:C381 A382:E387 I382:L387 A388 A389:C389 A390:E394 I390:L394">
    <cfRule type="timePeriod" dxfId="47" priority="85" stopIfTrue="1" timePeriod="today">
      <formula>FLOOR(A310,1)=TODAY()</formula>
    </cfRule>
  </conditionalFormatting>
  <conditionalFormatting sqref="G4:G291 G293:G434">
    <cfRule type="cellIs" dxfId="46" priority="14" operator="lessThan">
      <formula>-0.0001</formula>
    </cfRule>
  </conditionalFormatting>
  <conditionalFormatting sqref="G5:G23">
    <cfRule type="cellIs" dxfId="45" priority="16" operator="lessThan">
      <formula>-0.01</formula>
    </cfRule>
  </conditionalFormatting>
  <conditionalFormatting sqref="G24">
    <cfRule type="cellIs" dxfId="44" priority="25" operator="lessThan">
      <formula>-1</formula>
    </cfRule>
  </conditionalFormatting>
  <conditionalFormatting sqref="G25:G31">
    <cfRule type="cellIs" dxfId="43" priority="15" operator="lessThan">
      <formula>-0.01</formula>
    </cfRule>
  </conditionalFormatting>
  <conditionalFormatting sqref="G43:G49 G51:G141">
    <cfRule type="cellIs" dxfId="42" priority="60" operator="lessThan">
      <formula>-0.01</formula>
    </cfRule>
  </conditionalFormatting>
  <conditionalFormatting sqref="G150:G163">
    <cfRule type="cellIs" dxfId="41" priority="69" operator="lessThan">
      <formula>-0.01</formula>
    </cfRule>
  </conditionalFormatting>
  <conditionalFormatting sqref="G190:G291 G293:G301 G174:G177 G180:G187">
    <cfRule type="cellIs" dxfId="40" priority="24" operator="lessThan">
      <formula>-0.01</formula>
    </cfRule>
  </conditionalFormatting>
  <conditionalFormatting sqref="G279:G286 F287:H291 F293:H301 E246 I248:I291 I293:I297">
    <cfRule type="cellIs" dxfId="39" priority="67" operator="lessThan">
      <formula>-1</formula>
    </cfRule>
  </conditionalFormatting>
  <conditionalFormatting sqref="G287:G291 G293:G301">
    <cfRule type="cellIs" dxfId="38" priority="23" operator="lessThan">
      <formula>-1</formula>
    </cfRule>
  </conditionalFormatting>
  <conditionalFormatting sqref="G337:G361">
    <cfRule type="cellIs" dxfId="37" priority="8" operator="lessThan">
      <formula>-0.01</formula>
    </cfRule>
  </conditionalFormatting>
  <conditionalFormatting sqref="G5:H5 G25:H25 G31:H31 G42:H42 G143:G148 G389:G394 L449:L1048576">
    <cfRule type="cellIs" dxfId="36" priority="82" operator="lessThan">
      <formula>-0.01</formula>
    </cfRule>
  </conditionalFormatting>
  <conditionalFormatting sqref="G12:H12">
    <cfRule type="cellIs" dxfId="35" priority="19" operator="lessThan">
      <formula>-0.01</formula>
    </cfRule>
  </conditionalFormatting>
  <conditionalFormatting sqref="G50:H50">
    <cfRule type="cellIs" dxfId="34" priority="3" operator="lessThan">
      <formula>-0.01</formula>
    </cfRule>
  </conditionalFormatting>
  <conditionalFormatting sqref="G148:H149 G309:H309 G330:H330 G367:H367 G373:H373 G380:H380 G448:H448 G95:H95 G111:H117 G134:H134 G141:H142 G407:H407 G413:H413 G247:H247 G278:H278 G32:H41 G164:H167 G172:H172 G337:H337 G346:H346 G355:H357 K6:K11 I26:I30 I43:I49 I51:I55 I57:I83 I85:I94 I118:I136 I138:I140 I174:I177 I180:I187 I190:I199 I374">
    <cfRule type="cellIs" dxfId="33" priority="84" operator="lessThan">
      <formula>-1</formula>
    </cfRule>
  </conditionalFormatting>
  <conditionalFormatting sqref="G178:H179">
    <cfRule type="cellIs" dxfId="32" priority="11" operator="lessThan">
      <formula>-1</formula>
    </cfRule>
  </conditionalFormatting>
  <conditionalFormatting sqref="G188:H189">
    <cfRule type="cellIs" dxfId="31" priority="5" operator="lessThan">
      <formula>-1</formula>
    </cfRule>
  </conditionalFormatting>
  <conditionalFormatting sqref="G361:H361">
    <cfRule type="cellIs" dxfId="30" priority="9" operator="lessThan">
      <formula>-1</formula>
    </cfRule>
  </conditionalFormatting>
  <conditionalFormatting sqref="I13:I24">
    <cfRule type="cellIs" dxfId="29" priority="27" operator="lessThan">
      <formula>-1</formula>
    </cfRule>
  </conditionalFormatting>
  <conditionalFormatting sqref="I95">
    <cfRule type="cellIs" dxfId="28" priority="59" operator="lessThan">
      <formula>-0.01</formula>
    </cfRule>
  </conditionalFormatting>
  <conditionalFormatting sqref="I96:I110">
    <cfRule type="cellIs" dxfId="27" priority="61" operator="lessThan">
      <formula>-1</formula>
    </cfRule>
  </conditionalFormatting>
  <conditionalFormatting sqref="I111:I117">
    <cfRule type="cellIs" dxfId="26" priority="53" operator="lessThan">
      <formula>-0.01</formula>
    </cfRule>
  </conditionalFormatting>
  <conditionalFormatting sqref="I142:I147">
    <cfRule type="cellIs" dxfId="25" priority="44" operator="lessThan">
      <formula>-1</formula>
    </cfRule>
  </conditionalFormatting>
  <conditionalFormatting sqref="I149:I163">
    <cfRule type="cellIs" dxfId="24" priority="45" operator="lessThan">
      <formula>-1</formula>
    </cfRule>
  </conditionalFormatting>
  <conditionalFormatting sqref="I201 K201">
    <cfRule type="cellIs" dxfId="23" priority="62" operator="lessThan">
      <formula>-0.01</formula>
    </cfRule>
  </conditionalFormatting>
  <conditionalFormatting sqref="I203 I205:I209 I211:I217 I219:I221">
    <cfRule type="cellIs" dxfId="22" priority="68" operator="lessThan">
      <formula>-1</formula>
    </cfRule>
  </conditionalFormatting>
  <conditionalFormatting sqref="I230:I246">
    <cfRule type="cellIs" dxfId="21" priority="66" operator="lessThan">
      <formula>-1</formula>
    </cfRule>
  </conditionalFormatting>
  <conditionalFormatting sqref="I338:I370">
    <cfRule type="cellIs" dxfId="20" priority="21" operator="lessThan">
      <formula>-1</formula>
    </cfRule>
  </conditionalFormatting>
  <conditionalFormatting sqref="I381">
    <cfRule type="cellIs" dxfId="19" priority="36" operator="lessThan">
      <formula>-1</formula>
    </cfRule>
  </conditionalFormatting>
  <conditionalFormatting sqref="I389">
    <cfRule type="cellIs" dxfId="18" priority="37" operator="lessThan">
      <formula>-1</formula>
    </cfRule>
  </conditionalFormatting>
  <conditionalFormatting sqref="I439">
    <cfRule type="cellIs" dxfId="17" priority="65" operator="lessThan">
      <formula>-1</formula>
    </cfRule>
  </conditionalFormatting>
  <conditionalFormatting sqref="J218">
    <cfRule type="cellIs" dxfId="16" priority="52" operator="lessThan">
      <formula>-1</formula>
    </cfRule>
  </conditionalFormatting>
  <conditionalFormatting sqref="J224:J229">
    <cfRule type="cellIs" dxfId="15" priority="12" operator="lessThan">
      <formula>-1</formula>
    </cfRule>
  </conditionalFormatting>
  <conditionalFormatting sqref="J337">
    <cfRule type="cellIs" dxfId="14" priority="33" operator="lessThan">
      <formula>-1</formula>
    </cfRule>
  </conditionalFormatting>
  <conditionalFormatting sqref="J346">
    <cfRule type="cellIs" dxfId="13" priority="51" operator="lessThan">
      <formula>-1</formula>
    </cfRule>
  </conditionalFormatting>
  <conditionalFormatting sqref="J355:J357">
    <cfRule type="cellIs" dxfId="12" priority="20" operator="lessThan">
      <formula>-1</formula>
    </cfRule>
  </conditionalFormatting>
  <conditionalFormatting sqref="J361">
    <cfRule type="cellIs" dxfId="11" priority="7" operator="lessThan">
      <formula>-1</formula>
    </cfRule>
  </conditionalFormatting>
  <conditionalFormatting sqref="J137:K137">
    <cfRule type="timePeriod" dxfId="10" priority="81" stopIfTrue="1" timePeriod="today">
      <formula>FLOOR(J137,1)=TODAY()</formula>
    </cfRule>
  </conditionalFormatting>
  <conditionalFormatting sqref="K32:K42">
    <cfRule type="timePeriod" dxfId="9" priority="57" stopIfTrue="1" timePeriod="today">
      <formula>FLOOR(K32,1)=TODAY()</formula>
    </cfRule>
  </conditionalFormatting>
  <conditionalFormatting sqref="K149">
    <cfRule type="cellIs" dxfId="8" priority="46" operator="lessThan">
      <formula>-0.01</formula>
    </cfRule>
  </conditionalFormatting>
  <conditionalFormatting sqref="K203:K229">
    <cfRule type="cellIs" dxfId="7" priority="13" operator="lessThan">
      <formula>-1</formula>
    </cfRule>
  </conditionalFormatting>
  <conditionalFormatting sqref="K278">
    <cfRule type="timePeriod" dxfId="6" priority="29" stopIfTrue="1" timePeriod="today">
      <formula>FLOOR(K278,1)=TODAY()</formula>
    </cfRule>
  </conditionalFormatting>
  <conditionalFormatting sqref="K381:L381 K389:L389">
    <cfRule type="timePeriod" dxfId="5" priority="39" stopIfTrue="1" timePeriod="today">
      <formula>FLOOR(K381,1)=TODAY()</formula>
    </cfRule>
  </conditionalFormatting>
  <conditionalFormatting sqref="L141:L142">
    <cfRule type="cellIs" dxfId="4" priority="48" operator="lessThan">
      <formula>-0.01</formula>
    </cfRule>
  </conditionalFormatting>
  <conditionalFormatting sqref="L148">
    <cfRule type="cellIs" dxfId="3" priority="49" operator="lessThan">
      <formula>-0.01</formula>
    </cfRule>
  </conditionalFormatting>
  <conditionalFormatting sqref="L164:L173">
    <cfRule type="cellIs" dxfId="2" priority="50" operator="lessThan">
      <formula>-0.01</formula>
    </cfRule>
  </conditionalFormatting>
  <conditionalFormatting sqref="O32:O42">
    <cfRule type="cellIs" dxfId="1" priority="56" operator="lessThan">
      <formula>-1</formula>
    </cfRule>
  </conditionalFormatting>
  <conditionalFormatting sqref="O337">
    <cfRule type="cellIs" dxfId="0" priority="63" operator="lessThan">
      <formula>-1</formula>
    </cfRule>
  </conditionalFormatting>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Toàn Cầu (cũ)</vt:lpstr>
      <vt:lpstr>Nam Tiến</vt:lpstr>
      <vt:lpstr>Kiên Giang</vt:lpstr>
      <vt:lpstr>Toàn Cầu</vt:lpstr>
      <vt:lpstr>GLOPACO</vt:lpstr>
      <vt:lpstr>Kim Đức</vt:lpstr>
      <vt:lpstr>Toàn Cầu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Minh Thư</dc:creator>
  <cp:lastModifiedBy>Duy Phong</cp:lastModifiedBy>
  <dcterms:created xsi:type="dcterms:W3CDTF">2025-05-23T05:35:11Z</dcterms:created>
  <dcterms:modified xsi:type="dcterms:W3CDTF">2026-10-28T08:57:41Z</dcterms:modified>
</cp:coreProperties>
</file>